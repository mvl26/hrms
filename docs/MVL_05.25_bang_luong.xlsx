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HIEU\job\excel\finance mẫu lương\"/>
    </mc:Choice>
  </mc:AlternateContent>
  <xr:revisionPtr revIDLastSave="0" documentId="13_ncr:1_{AF0FE04D-D87D-4B5B-A408-12B90515DF8D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07 2024" sheetId="3" state="hidden" r:id="rId1"/>
    <sheet name="Tong hop" sheetId="6" r:id="rId2"/>
    <sheet name="SALARY" sheetId="4" r:id="rId3"/>
    <sheet name="INSURANCE" sheetId="5" r:id="rId4"/>
  </sheets>
  <definedNames>
    <definedName name="_xlnm._FilterDatabase" localSheetId="0" hidden="1">'07 2024'!$A$6:$Y$9</definedName>
    <definedName name="_xlnm._FilterDatabase" localSheetId="2" hidden="1">SALARY!$A$4:$X$20</definedName>
    <definedName name="_xlnm.Print_Area" localSheetId="0">'07 2024'!$A$1:$U$21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9" i="4" l="1"/>
  <c r="U8" i="4"/>
  <c r="Q6" i="4"/>
  <c r="R8" i="4"/>
  <c r="T7" i="4"/>
  <c r="V7" i="4" s="1"/>
  <c r="L6" i="5"/>
  <c r="Q5" i="4"/>
  <c r="T6" i="4"/>
  <c r="S7" i="4"/>
  <c r="S8" i="4"/>
  <c r="P6" i="4"/>
  <c r="P8" i="4"/>
  <c r="I10" i="4"/>
  <c r="I11" i="4" s="1"/>
  <c r="S6" i="4"/>
  <c r="D10" i="5"/>
  <c r="D7" i="5"/>
  <c r="D6" i="5"/>
  <c r="T8" i="4" l="1"/>
  <c r="T10" i="4"/>
  <c r="T12" i="4"/>
  <c r="T13" i="4"/>
  <c r="T14" i="4"/>
  <c r="T15" i="4"/>
  <c r="T5" i="4"/>
  <c r="H5" i="6"/>
  <c r="H6" i="6"/>
  <c r="H7" i="6"/>
  <c r="S9" i="4"/>
  <c r="H8" i="6" s="1"/>
  <c r="S10" i="4"/>
  <c r="H9" i="6" s="1"/>
  <c r="S12" i="4"/>
  <c r="H11" i="6" s="1"/>
  <c r="S13" i="4"/>
  <c r="S14" i="4"/>
  <c r="S15" i="4"/>
  <c r="S5" i="4"/>
  <c r="H14" i="6" l="1"/>
  <c r="H13" i="6"/>
  <c r="H12" i="6"/>
  <c r="H4" i="6"/>
  <c r="H16" i="6" s="1"/>
  <c r="O6" i="4"/>
  <c r="O7" i="4"/>
  <c r="O8" i="4"/>
  <c r="O9" i="4"/>
  <c r="O10" i="4"/>
  <c r="O12" i="4"/>
  <c r="O13" i="4"/>
  <c r="O14" i="4"/>
  <c r="O15" i="4"/>
  <c r="O5" i="4"/>
  <c r="I15" i="4"/>
  <c r="I14" i="4"/>
  <c r="I13" i="4"/>
  <c r="I12" i="4"/>
  <c r="U10" i="4"/>
  <c r="I9" i="4"/>
  <c r="I8" i="4"/>
  <c r="I7" i="4"/>
  <c r="I6" i="4"/>
  <c r="I5" i="4"/>
  <c r="L10" i="4" l="1"/>
  <c r="U5" i="4"/>
  <c r="L5" i="4"/>
  <c r="L6" i="4"/>
  <c r="U6" i="4"/>
  <c r="L7" i="4"/>
  <c r="U7" i="4"/>
  <c r="L8" i="4"/>
  <c r="L9" i="4"/>
  <c r="U9" i="4"/>
  <c r="L12" i="4"/>
  <c r="U12" i="4"/>
  <c r="L13" i="4"/>
  <c r="U13" i="4"/>
  <c r="L14" i="4"/>
  <c r="U14" i="4"/>
  <c r="L15" i="4"/>
  <c r="U15" i="4"/>
  <c r="P12" i="4" l="1"/>
  <c r="Q12" i="4" s="1"/>
  <c r="R12" i="4" s="1"/>
  <c r="G11" i="6" s="1"/>
  <c r="F11" i="6"/>
  <c r="P7" i="4"/>
  <c r="Q7" i="4" s="1"/>
  <c r="F6" i="6"/>
  <c r="P15" i="4"/>
  <c r="Q15" i="4" s="1"/>
  <c r="R15" i="4" s="1"/>
  <c r="G14" i="6" s="1"/>
  <c r="F14" i="6"/>
  <c r="Q8" i="4"/>
  <c r="V8" i="4" s="1"/>
  <c r="F7" i="6"/>
  <c r="F5" i="6"/>
  <c r="P14" i="4"/>
  <c r="Q14" i="4" s="1"/>
  <c r="R14" i="4" s="1"/>
  <c r="G13" i="6" s="1"/>
  <c r="F13" i="6"/>
  <c r="F4" i="6"/>
  <c r="P5" i="4"/>
  <c r="P13" i="4"/>
  <c r="Q13" i="4" s="1"/>
  <c r="R13" i="4" s="1"/>
  <c r="G12" i="6" s="1"/>
  <c r="F12" i="6"/>
  <c r="F8" i="6"/>
  <c r="P10" i="4"/>
  <c r="Q10" i="4" s="1"/>
  <c r="F9" i="6"/>
  <c r="P9" i="4"/>
  <c r="Q9" i="4" s="1"/>
  <c r="R7" i="4" l="1"/>
  <c r="G6" i="6" s="1"/>
  <c r="X7" i="4"/>
  <c r="X6" i="4"/>
  <c r="R6" i="4"/>
  <c r="V6" i="4" s="1"/>
  <c r="R5" i="4"/>
  <c r="G4" i="6" s="1"/>
  <c r="X5" i="4"/>
  <c r="F16" i="6"/>
  <c r="R10" i="4"/>
  <c r="X10" i="4"/>
  <c r="R9" i="4"/>
  <c r="X9" i="4"/>
  <c r="X8" i="4"/>
  <c r="J6" i="5"/>
  <c r="J7" i="5"/>
  <c r="F6" i="5"/>
  <c r="F7" i="5"/>
  <c r="K17" i="4"/>
  <c r="Y6" i="4" l="1"/>
  <c r="V5" i="4"/>
  <c r="Y5" i="4" s="1"/>
  <c r="G9" i="6"/>
  <c r="V10" i="4"/>
  <c r="G8" i="6"/>
  <c r="V9" i="4"/>
  <c r="Y9" i="4" s="1"/>
  <c r="J10" i="5"/>
  <c r="G5" i="6"/>
  <c r="Y7" i="4"/>
  <c r="F10" i="5"/>
  <c r="Y10" i="4"/>
  <c r="Y8" i="4"/>
  <c r="G7" i="6"/>
  <c r="L17" i="4"/>
  <c r="C10" i="5"/>
  <c r="H17" i="4"/>
  <c r="J17" i="4"/>
  <c r="G16" i="6" l="1"/>
  <c r="I6" i="5"/>
  <c r="H6" i="5"/>
  <c r="E6" i="5"/>
  <c r="K6" i="5" l="1"/>
  <c r="G6" i="5"/>
  <c r="H7" i="5"/>
  <c r="H10" i="5" s="1"/>
  <c r="I7" i="5"/>
  <c r="I10" i="5" s="1"/>
  <c r="E7" i="5"/>
  <c r="E10" i="5" s="1"/>
  <c r="K7" i="5" l="1"/>
  <c r="L7" i="5" s="1"/>
  <c r="G7" i="5"/>
  <c r="G10" i="5" s="1"/>
  <c r="K10" i="5" l="1"/>
  <c r="L10" i="5"/>
  <c r="F17" i="4"/>
  <c r="S17" i="4" l="1"/>
  <c r="T17" i="4"/>
  <c r="J11" i="3" l="1"/>
  <c r="K11" i="3"/>
  <c r="N11" i="3"/>
  <c r="O11" i="3"/>
  <c r="R11" i="3"/>
  <c r="S11" i="3"/>
  <c r="I11" i="3"/>
  <c r="F11" i="3"/>
  <c r="H9" i="3"/>
  <c r="H10" i="3"/>
  <c r="H8" i="3"/>
  <c r="I17" i="4" l="1"/>
  <c r="E8" i="3"/>
  <c r="E9" i="3"/>
  <c r="E11" i="3" l="1"/>
  <c r="H7" i="3"/>
  <c r="H11" i="3" s="1"/>
  <c r="G10" i="3" l="1"/>
  <c r="L10" i="3" s="1"/>
  <c r="M10" i="3" s="1"/>
  <c r="G9" i="3"/>
  <c r="L9" i="3" s="1"/>
  <c r="G8" i="3"/>
  <c r="G7" i="3"/>
  <c r="M9" i="3" l="1"/>
  <c r="R17" i="4"/>
  <c r="G11" i="3"/>
  <c r="L8" i="3"/>
  <c r="M8" i="3" s="1"/>
  <c r="P8" i="3" s="1"/>
  <c r="P9" i="3"/>
  <c r="Q9" i="3" s="1"/>
  <c r="T9" i="3" s="1"/>
  <c r="P10" i="3"/>
  <c r="Q10" i="3" s="1"/>
  <c r="T10" i="3" s="1"/>
  <c r="L7" i="3"/>
  <c r="L11" i="3" s="1"/>
  <c r="M7" i="3" l="1"/>
  <c r="M11" i="3" s="1"/>
  <c r="Q8" i="3"/>
  <c r="T8" i="3" s="1"/>
  <c r="U17" i="4" l="1"/>
  <c r="P7" i="3"/>
  <c r="P11" i="3" s="1"/>
  <c r="Q7" i="3" l="1"/>
  <c r="T7" i="3" s="1"/>
  <c r="T11" i="3" s="1"/>
  <c r="Q11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tc={10633BAB-8CAD-4903-B85F-CFEB504ECDF7}</author>
    <author>Ngoclily</author>
  </authors>
  <commentList>
    <comment ref="B7" authorId="0" shapeId="0" xr:uid="{00000000-0006-0000-00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29/07/2024</t>
      </text>
    </comment>
    <comment ref="B8" authorId="1" shapeId="0" xr:uid="{00000000-0006-0000-0000-000002000000}">
      <text>
        <r>
          <rPr>
            <b/>
            <sz val="9"/>
            <color indexed="81"/>
            <rFont val="Tahoma"/>
            <family val="2"/>
          </rPr>
          <t>Ngoclily:</t>
        </r>
        <r>
          <rPr>
            <sz val="9"/>
            <color indexed="81"/>
            <rFont val="Tahoma"/>
            <family val="2"/>
          </rPr>
          <t xml:space="preserve">
From 29/07/2024</t>
        </r>
      </text>
    </comment>
    <comment ref="B9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Ngoclily:</t>
        </r>
        <r>
          <rPr>
            <sz val="9"/>
            <color indexed="81"/>
            <rFont val="Tahoma"/>
            <family val="2"/>
          </rPr>
          <t xml:space="preserve">
From 22/7/2024</t>
        </r>
      </text>
    </comment>
    <comment ref="B10" authorId="1" shapeId="0" xr:uid="{00000000-0006-0000-0000-000004000000}">
      <text>
        <r>
          <rPr>
            <b/>
            <sz val="9"/>
            <color indexed="81"/>
            <rFont val="Tahoma"/>
            <family val="2"/>
          </rPr>
          <t>Ngoclily:</t>
        </r>
        <r>
          <rPr>
            <sz val="9"/>
            <color indexed="81"/>
            <rFont val="Tahoma"/>
            <family val="2"/>
          </rPr>
          <t xml:space="preserve">
From 15/7/2024</t>
        </r>
      </text>
    </comment>
  </commentList>
</comments>
</file>

<file path=xl/sharedStrings.xml><?xml version="1.0" encoding="utf-8"?>
<sst xmlns="http://schemas.openxmlformats.org/spreadsheetml/2006/main" count="176" uniqueCount="117">
  <si>
    <t>BẢNG THANH TOÁN TIỀN LƯƠNG</t>
  </si>
  <si>
    <t>No.</t>
  </si>
  <si>
    <t>성명 / NAME</t>
  </si>
  <si>
    <t>Mã số thuế cá nhân</t>
  </si>
  <si>
    <t>CMT/ CCCD</t>
  </si>
  <si>
    <t>기본급여</t>
  </si>
  <si>
    <t>근무일수/nngày làm việc</t>
  </si>
  <si>
    <t>적용 급여/Tiền lương thực tế</t>
  </si>
  <si>
    <t>식대/Tiền ăn</t>
  </si>
  <si>
    <t>Điện thoại</t>
  </si>
  <si>
    <t>Xăng xe</t>
  </si>
  <si>
    <t>Lương chất lượng hiệu quả công việc</t>
  </si>
  <si>
    <t>급여총계/Thu nhập trước thuế</t>
  </si>
  <si>
    <t>Thu nhập chịu thuế</t>
  </si>
  <si>
    <t>Giảm trừ bản thân</t>
  </si>
  <si>
    <t>부양가족수/Số người phụ thuộc</t>
  </si>
  <si>
    <t>소득세기준자료/Tiền lương tính thuế TNCN</t>
  </si>
  <si>
    <t>소득세/Thuế TNCN</t>
  </si>
  <si>
    <t>/BH- phần Công ty đóng</t>
  </si>
  <si>
    <t>보험/BH người LĐ đóng</t>
  </si>
  <si>
    <t>실수령액/Thực lĩnh</t>
  </si>
  <si>
    <t>비고/Ghi chú</t>
  </si>
  <si>
    <t>서명</t>
  </si>
  <si>
    <t>직종  
JOB TITLE</t>
  </si>
  <si>
    <t>BASIC SALARY</t>
  </si>
  <si>
    <t>WORKING DAY</t>
  </si>
  <si>
    <t>ACTUAL SALARY (1)</t>
  </si>
  <si>
    <t>MEAL (3)</t>
  </si>
  <si>
    <t>MOBILE PHONE (4)</t>
  </si>
  <si>
    <t>GROSS AMOUNT
(7)= (1)+(2)+(3)+(4)+(5)+(6)</t>
  </si>
  <si>
    <t>TAXABLE INCOME</t>
  </si>
  <si>
    <t>QTY PERSON BELONG TO</t>
  </si>
  <si>
    <t>INCOME PAYABLE</t>
  </si>
  <si>
    <t>PIT
(8)</t>
  </si>
  <si>
    <t xml:space="preserve">INSURANCE- Company
(9) </t>
  </si>
  <si>
    <t>INSURANCE- staff (10)</t>
  </si>
  <si>
    <t>NET TAKE HOME
(11)=(7)-(8)-(10)</t>
  </si>
  <si>
    <t>REMARKS</t>
  </si>
  <si>
    <t>SIGNATURE</t>
  </si>
  <si>
    <t>개인별 소계
SUB TOTAL</t>
  </si>
  <si>
    <t>Người lập biểu</t>
  </si>
  <si>
    <t>Giám đốc</t>
  </si>
  <si>
    <t>CHÚC LÊ NGỌC</t>
  </si>
  <si>
    <t>CHOI JONG KOOK</t>
  </si>
  <si>
    <t>TRẦN MINH HOÀNG</t>
  </si>
  <si>
    <t>NGUYỄN THANH NGA</t>
  </si>
  <si>
    <t>S-TEC SYSTEM VINA CO.,LTD</t>
  </si>
  <si>
    <t>Tháng 07 năm 2024</t>
  </si>
  <si>
    <t>Oil(5)</t>
  </si>
  <si>
    <t>KPI(6)</t>
  </si>
  <si>
    <t>Deduct</t>
  </si>
  <si>
    <t>Working day:</t>
  </si>
  <si>
    <t>Người phê duyệt</t>
  </si>
  <si>
    <t>Add: 14th Floor Sao Mai Building, 19 Le Van Luong, Nhan Chinh Ward, Thanh Xuan District, Ha Noi</t>
  </si>
  <si>
    <t>BẢNG TÍNH BẢO HIỂM/INSURANCE</t>
  </si>
  <si>
    <t>TOTAL</t>
  </si>
  <si>
    <t>REMARK</t>
  </si>
  <si>
    <t>STT</t>
  </si>
  <si>
    <t>Lương cơ bản</t>
  </si>
  <si>
    <t>Họ tên</t>
  </si>
  <si>
    <t xml:space="preserve"> BH Công ty đóng (21.5%)</t>
  </si>
  <si>
    <t>BH người LĐ đóng (10.5%)</t>
  </si>
  <si>
    <t>BHXH (17.5%)</t>
  </si>
  <si>
    <t>BHYT (3%)</t>
  </si>
  <si>
    <t>BHTN  (1%)</t>
  </si>
  <si>
    <t>BHXH  (8%)</t>
  </si>
  <si>
    <t>BHYT (1.5%)</t>
  </si>
  <si>
    <t>Tổng cộng</t>
  </si>
  <si>
    <t>Tổng</t>
  </si>
  <si>
    <t>Đoàn Ngọc Anh</t>
  </si>
  <si>
    <t>Lưu Đức Hà</t>
  </si>
  <si>
    <t>Tạ Trường Xuân</t>
  </si>
  <si>
    <t>Phan Thị Nhài</t>
  </si>
  <si>
    <t>Chu Văn Hiếu</t>
  </si>
  <si>
    <t>Nguyễn Văn Hòa</t>
  </si>
  <si>
    <t>Nguyễn Ngọc Hà</t>
  </si>
  <si>
    <t>Koshioka Hiroshi</t>
  </si>
  <si>
    <t>Vũ Văn Tiến Tuyền</t>
  </si>
  <si>
    <t>Tháng 05 năm 2025</t>
  </si>
  <si>
    <t>BẢNG THANH TOÁN TIỀN LƯƠNG/ Salary table</t>
  </si>
  <si>
    <t>Tháng 05 năm 2025/ May, 2025</t>
  </si>
  <si>
    <t>Lê Quang Huy</t>
  </si>
  <si>
    <t>Bán thời gian</t>
  </si>
  <si>
    <t>Toàn thời gian</t>
  </si>
  <si>
    <t>NET</t>
  </si>
  <si>
    <t>Đăng ký MST từ tháng 5</t>
  </si>
  <si>
    <t>STT/
Number</t>
  </si>
  <si>
    <t>Họ tện (Name)</t>
  </si>
  <si>
    <t>Loại Hợp đồng (Type labor contract)</t>
  </si>
  <si>
    <t>Loại Hợp đồng (Status)</t>
  </si>
  <si>
    <t>Hệ số lương/ salary coefficient)</t>
  </si>
  <si>
    <t>Số ngày làm việc chuẩn/Standard working day</t>
  </si>
  <si>
    <t>Lương ngày công/Working day salary</t>
  </si>
  <si>
    <t>Lương đóng BHXH/ Insurance salary</t>
  </si>
  <si>
    <t>Số ngày làm việc (Days)</t>
  </si>
  <si>
    <t xml:space="preserve">Lương thực tế/Actual salary </t>
  </si>
  <si>
    <t>Ăn ca/Meal</t>
  </si>
  <si>
    <t>Điện thoại/Tel</t>
  </si>
  <si>
    <t>Lương thực lĩnh/Net Payment</t>
  </si>
  <si>
    <t>Giảm trừ bản thân/Employee Deduction</t>
  </si>
  <si>
    <t>Số người phụ thuộc/Dependent</t>
  </si>
  <si>
    <t>Tổng các khoản giảm trừ/Total Deduction</t>
  </si>
  <si>
    <t>Thu nhập làm căn cứ quy đổi/Assessible income</t>
  </si>
  <si>
    <t>Thu nhập tính thuế/Taxable income</t>
  </si>
  <si>
    <t>Thuế TNCN/PIT</t>
  </si>
  <si>
    <t>Thực lĩnh/Net income</t>
  </si>
  <si>
    <t>MST cá nhân/Tax code</t>
  </si>
  <si>
    <t>Bảo hiểm công ty trả/ insurance_
Employer</t>
  </si>
  <si>
    <t>Bảo hiểm NLĐ trả/ insurance_
Employee</t>
  </si>
  <si>
    <t>Ngày 31 tháng 05 năm 2025</t>
  </si>
  <si>
    <t>TỔNG CỘNG/Total</t>
  </si>
  <si>
    <t>Giám đốc/CEO</t>
  </si>
  <si>
    <t>Người lập biểu/Maker</t>
  </si>
  <si>
    <t>Thuế TNCN- Công ty đóng</t>
  </si>
  <si>
    <t>BHXH- Công ty đóng</t>
  </si>
  <si>
    <t>Check</t>
  </si>
  <si>
    <t>GROSS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</si>
</sst>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-* #,##0.00_-;\-* #,##0.00_-;_-* &quot;-&quot;??_-;_-@_-"/>
    <numFmt numFmtId="165" formatCode="_-* #,##0.00\ _₫_-;\-* #,##0.00\ _₫_-;_-* &quot;-&quot;??\ _₫_-;_-@_-"/>
    <numFmt numFmtId="166" formatCode="_(* #,##0.0_);_(* \(#,##0.0\);_(* &quot;-&quot;??_);_(@_)"/>
    <numFmt numFmtId="167" formatCode="_(* #,##0_);_(* \(#,##0\);_(* &quot;-&quot;??_);_(@_)"/>
    <numFmt numFmtId="168" formatCode="_-* #,##0\ _₫_-;\-* #,##0\ _₫_-;_-* &quot;-&quot;??\ _₫_-;_-@_-"/>
    <numFmt numFmtId="169" formatCode="#,##0.0_);\(#,##0.0\)"/>
    <numFmt numFmtId="170" formatCode="0.0%"/>
  </numFmts>
  <fonts count="25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b/>
      <sz val="12"/>
      <name val="Cambria"/>
      <family val="1"/>
    </font>
    <font>
      <sz val="12"/>
      <name val="Cambria"/>
      <family val="1"/>
    </font>
    <font>
      <b/>
      <sz val="16"/>
      <name val="Cambria"/>
      <family val="1"/>
    </font>
    <font>
      <b/>
      <sz val="16"/>
      <name val="Times New Roman"/>
      <family val="1"/>
    </font>
    <font>
      <sz val="12"/>
      <color theme="1"/>
      <name val="Times New Roman"/>
      <family val="2"/>
    </font>
    <font>
      <b/>
      <sz val="30"/>
      <name val="Cambria"/>
      <family val="1"/>
    </font>
    <font>
      <sz val="11"/>
      <name val="Cambria"/>
      <family val="1"/>
    </font>
    <font>
      <b/>
      <sz val="14"/>
      <name val="Cambria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sz val="13"/>
      <name val="Times New Roman"/>
      <family val="1"/>
    </font>
    <font>
      <b/>
      <sz val="13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6"/>
      <color theme="1"/>
      <name val="Times New Roman"/>
      <family val="1"/>
    </font>
    <font>
      <b/>
      <sz val="11"/>
      <name val="Times New Roman"/>
      <family val="1"/>
    </font>
    <font>
      <sz val="10"/>
      <name val="Arial"/>
      <family val="2"/>
    </font>
    <font>
      <b/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165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7" fillId="0" borderId="0"/>
    <xf numFmtId="164" fontId="23" fillId="0" borderId="0" applyFont="0" applyFill="0" applyBorder="0" applyAlignment="0" applyProtection="0"/>
    <xf numFmtId="0" fontId="23" fillId="0" borderId="0"/>
    <xf numFmtId="164" fontId="23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7">
    <xf numFmtId="0" fontId="0" fillId="0" borderId="0" xfId="0"/>
    <xf numFmtId="0" fontId="4" fillId="0" borderId="0" xfId="2" applyFont="1" applyAlignment="1">
      <alignment horizontal="center" vertical="center"/>
    </xf>
    <xf numFmtId="0" fontId="3" fillId="0" borderId="0" xfId="2" applyFont="1" applyAlignment="1">
      <alignment vertical="center"/>
    </xf>
    <xf numFmtId="49" fontId="3" fillId="0" borderId="0" xfId="2" applyNumberFormat="1" applyFont="1" applyAlignment="1">
      <alignment vertical="center"/>
    </xf>
    <xf numFmtId="167" fontId="4" fillId="0" borderId="0" xfId="3" applyNumberFormat="1" applyFont="1" applyFill="1" applyAlignment="1">
      <alignment vertical="center" wrapText="1"/>
    </xf>
    <xf numFmtId="167" fontId="4" fillId="0" borderId="0" xfId="3" applyNumberFormat="1" applyFont="1" applyFill="1" applyAlignment="1">
      <alignment horizontal="center" vertical="center" wrapText="1"/>
    </xf>
    <xf numFmtId="168" fontId="4" fillId="0" borderId="0" xfId="1" applyNumberFormat="1" applyFont="1" applyFill="1" applyAlignment="1">
      <alignment horizontal="center" vertical="center" wrapText="1"/>
    </xf>
    <xf numFmtId="0" fontId="4" fillId="0" borderId="0" xfId="2" applyFont="1" applyAlignment="1">
      <alignment horizontal="center" vertical="center" wrapText="1"/>
    </xf>
    <xf numFmtId="49" fontId="4" fillId="0" borderId="0" xfId="2" applyNumberFormat="1" applyFont="1" applyAlignment="1">
      <alignment horizontal="center" vertical="center"/>
    </xf>
    <xf numFmtId="0" fontId="4" fillId="0" borderId="0" xfId="2" applyFont="1" applyAlignment="1">
      <alignment horizontal="left" vertical="center" wrapText="1"/>
    </xf>
    <xf numFmtId="49" fontId="4" fillId="0" borderId="0" xfId="2" applyNumberFormat="1" applyFont="1" applyAlignment="1">
      <alignment horizontal="left" vertical="center" wrapText="1"/>
    </xf>
    <xf numFmtId="49" fontId="3" fillId="2" borderId="1" xfId="2" applyNumberFormat="1" applyFont="1" applyFill="1" applyBorder="1" applyAlignment="1">
      <alignment horizontal="left" vertical="center" wrapText="1"/>
    </xf>
    <xf numFmtId="0" fontId="3" fillId="2" borderId="1" xfId="2" applyFont="1" applyFill="1" applyBorder="1" applyAlignment="1">
      <alignment horizontal="center" vertical="center"/>
    </xf>
    <xf numFmtId="166" fontId="4" fillId="2" borderId="1" xfId="3" applyNumberFormat="1" applyFont="1" applyFill="1" applyBorder="1" applyAlignment="1">
      <alignment horizontal="center" vertical="center" wrapText="1"/>
    </xf>
    <xf numFmtId="167" fontId="4" fillId="2" borderId="1" xfId="3" applyNumberFormat="1" applyFont="1" applyFill="1" applyBorder="1" applyAlignment="1">
      <alignment horizontal="center" vertical="center" wrapText="1"/>
    </xf>
    <xf numFmtId="168" fontId="4" fillId="2" borderId="1" xfId="1" applyNumberFormat="1" applyFont="1" applyFill="1" applyBorder="1" applyAlignment="1">
      <alignment horizontal="center" vertical="center" wrapText="1"/>
    </xf>
    <xf numFmtId="0" fontId="3" fillId="2" borderId="1" xfId="2" applyFont="1" applyFill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/>
    </xf>
    <xf numFmtId="167" fontId="4" fillId="0" borderId="1" xfId="3" applyNumberFormat="1" applyFont="1" applyFill="1" applyBorder="1" applyAlignment="1">
      <alignment horizontal="center" vertical="center"/>
    </xf>
    <xf numFmtId="166" fontId="4" fillId="0" borderId="1" xfId="3" applyNumberFormat="1" applyFont="1" applyFill="1" applyBorder="1" applyAlignment="1">
      <alignment horizontal="center" vertical="center" wrapText="1"/>
    </xf>
    <xf numFmtId="167" fontId="4" fillId="0" borderId="1" xfId="3" applyNumberFormat="1" applyFont="1" applyFill="1" applyBorder="1" applyAlignment="1">
      <alignment horizontal="center" vertical="center" wrapText="1"/>
    </xf>
    <xf numFmtId="168" fontId="4" fillId="0" borderId="1" xfId="1" applyNumberFormat="1" applyFont="1" applyFill="1" applyBorder="1" applyAlignment="1">
      <alignment horizontal="center" vertical="center" wrapText="1"/>
    </xf>
    <xf numFmtId="167" fontId="4" fillId="0" borderId="0" xfId="2" applyNumberFormat="1" applyFont="1" applyAlignment="1">
      <alignment horizontal="center" vertical="center"/>
    </xf>
    <xf numFmtId="168" fontId="4" fillId="0" borderId="0" xfId="2" applyNumberFormat="1" applyFont="1" applyAlignment="1">
      <alignment horizontal="center" vertical="center"/>
    </xf>
    <xf numFmtId="165" fontId="4" fillId="0" borderId="0" xfId="1" applyFont="1" applyFill="1" applyBorder="1" applyAlignment="1">
      <alignment horizontal="center" vertical="center"/>
    </xf>
    <xf numFmtId="49" fontId="3" fillId="2" borderId="1" xfId="3" applyNumberFormat="1" applyFont="1" applyFill="1" applyBorder="1" applyAlignment="1">
      <alignment horizontal="center" vertical="center"/>
    </xf>
    <xf numFmtId="37" fontId="3" fillId="2" borderId="1" xfId="3" applyNumberFormat="1" applyFont="1" applyFill="1" applyBorder="1" applyAlignment="1">
      <alignment horizontal="center" vertical="center"/>
    </xf>
    <xf numFmtId="169" fontId="4" fillId="0" borderId="0" xfId="3" applyNumberFormat="1" applyFont="1" applyFill="1" applyAlignment="1">
      <alignment horizontal="center" vertical="center"/>
    </xf>
    <xf numFmtId="0" fontId="4" fillId="0" borderId="1" xfId="2" applyFont="1" applyBorder="1" applyAlignment="1">
      <alignment horizontal="center" vertical="center" wrapText="1"/>
    </xf>
    <xf numFmtId="169" fontId="3" fillId="0" borderId="1" xfId="3" applyNumberFormat="1" applyFont="1" applyFill="1" applyBorder="1" applyAlignment="1">
      <alignment horizontal="center" vertical="center" wrapText="1"/>
    </xf>
    <xf numFmtId="166" fontId="3" fillId="2" borderId="1" xfId="3" applyNumberFormat="1" applyFont="1" applyFill="1" applyBorder="1" applyAlignment="1">
      <alignment horizontal="center" vertical="center" wrapText="1"/>
    </xf>
    <xf numFmtId="167" fontId="3" fillId="2" borderId="1" xfId="3" applyNumberFormat="1" applyFont="1" applyFill="1" applyBorder="1" applyAlignment="1">
      <alignment horizontal="center" vertical="center" wrapText="1"/>
    </xf>
    <xf numFmtId="168" fontId="3" fillId="2" borderId="1" xfId="1" applyNumberFormat="1" applyFont="1" applyFill="1" applyBorder="1" applyAlignment="1">
      <alignment horizontal="center" vertical="center" wrapText="1"/>
    </xf>
    <xf numFmtId="0" fontId="3" fillId="0" borderId="1" xfId="2" applyFont="1" applyBorder="1" applyAlignment="1">
      <alignment horizontal="center" vertical="center" wrapText="1"/>
    </xf>
    <xf numFmtId="0" fontId="3" fillId="0" borderId="0" xfId="2" applyFont="1" applyAlignment="1">
      <alignment horizontal="center" vertical="center"/>
    </xf>
    <xf numFmtId="165" fontId="4" fillId="0" borderId="1" xfId="1" applyFont="1" applyFill="1" applyBorder="1" applyAlignment="1">
      <alignment horizontal="center" vertical="center" wrapText="1"/>
    </xf>
    <xf numFmtId="43" fontId="4" fillId="0" borderId="1" xfId="3" applyFont="1" applyFill="1" applyBorder="1" applyAlignment="1">
      <alignment horizontal="center" vertical="center" wrapText="1"/>
    </xf>
    <xf numFmtId="0" fontId="4" fillId="0" borderId="0" xfId="2" applyFont="1" applyAlignment="1">
      <alignment horizontal="left" vertical="center"/>
    </xf>
    <xf numFmtId="166" fontId="4" fillId="0" borderId="0" xfId="3" applyNumberFormat="1" applyFont="1" applyFill="1" applyAlignment="1">
      <alignment vertical="center" wrapText="1"/>
    </xf>
    <xf numFmtId="166" fontId="4" fillId="0" borderId="0" xfId="3" applyNumberFormat="1" applyFont="1" applyFill="1" applyBorder="1" applyAlignment="1">
      <alignment horizontal="center" vertical="center" wrapText="1"/>
    </xf>
    <xf numFmtId="37" fontId="3" fillId="2" borderId="1" xfId="3" applyNumberFormat="1" applyFont="1" applyFill="1" applyBorder="1" applyAlignment="1">
      <alignment horizontal="right" vertical="center"/>
    </xf>
    <xf numFmtId="0" fontId="8" fillId="0" borderId="0" xfId="2" applyFont="1" applyAlignment="1">
      <alignment vertical="center" wrapText="1"/>
    </xf>
    <xf numFmtId="0" fontId="5" fillId="0" borderId="1" xfId="2" applyFont="1" applyBorder="1" applyAlignment="1">
      <alignment vertical="center"/>
    </xf>
    <xf numFmtId="49" fontId="5" fillId="0" borderId="1" xfId="2" applyNumberFormat="1" applyFont="1" applyBorder="1" applyAlignment="1">
      <alignment vertical="center"/>
    </xf>
    <xf numFmtId="0" fontId="3" fillId="0" borderId="1" xfId="2" applyFont="1" applyBorder="1" applyAlignment="1">
      <alignment vertical="center"/>
    </xf>
    <xf numFmtId="49" fontId="3" fillId="0" borderId="1" xfId="2" applyNumberFormat="1" applyFont="1" applyBorder="1" applyAlignment="1">
      <alignment vertical="center"/>
    </xf>
    <xf numFmtId="0" fontId="9" fillId="0" borderId="0" xfId="2" applyFont="1"/>
    <xf numFmtId="49" fontId="9" fillId="0" borderId="0" xfId="2" applyNumberFormat="1" applyFont="1"/>
    <xf numFmtId="167" fontId="9" fillId="0" borderId="0" xfId="3" applyNumberFormat="1" applyFont="1" applyFill="1"/>
    <xf numFmtId="168" fontId="9" fillId="0" borderId="0" xfId="1" applyNumberFormat="1" applyFont="1" applyFill="1"/>
    <xf numFmtId="43" fontId="9" fillId="0" borderId="0" xfId="2" applyNumberFormat="1" applyFont="1"/>
    <xf numFmtId="0" fontId="10" fillId="0" borderId="0" xfId="2" applyFont="1"/>
    <xf numFmtId="0" fontId="10" fillId="0" borderId="0" xfId="2" applyFont="1" applyAlignment="1">
      <alignment horizontal="center" vertical="center"/>
    </xf>
    <xf numFmtId="49" fontId="10" fillId="0" borderId="0" xfId="2" applyNumberFormat="1" applyFont="1" applyAlignment="1">
      <alignment vertical="center"/>
    </xf>
    <xf numFmtId="0" fontId="10" fillId="0" borderId="0" xfId="2" applyFont="1" applyAlignment="1">
      <alignment vertical="center"/>
    </xf>
    <xf numFmtId="167" fontId="10" fillId="0" borderId="0" xfId="3" applyNumberFormat="1" applyFont="1" applyFill="1" applyAlignment="1">
      <alignment vertical="center"/>
    </xf>
    <xf numFmtId="167" fontId="10" fillId="0" borderId="0" xfId="2" applyNumberFormat="1" applyFont="1"/>
    <xf numFmtId="168" fontId="10" fillId="0" borderId="0" xfId="1" applyNumberFormat="1" applyFont="1" applyFill="1"/>
    <xf numFmtId="168" fontId="9" fillId="0" borderId="0" xfId="1" applyNumberFormat="1" applyFont="1"/>
    <xf numFmtId="165" fontId="9" fillId="0" borderId="0" xfId="1" applyFont="1" applyFill="1"/>
    <xf numFmtId="0" fontId="14" fillId="0" borderId="0" xfId="2" applyFont="1" applyAlignment="1">
      <alignment horizontal="center" vertical="center"/>
    </xf>
    <xf numFmtId="167" fontId="14" fillId="0" borderId="0" xfId="3" applyNumberFormat="1" applyFont="1" applyFill="1" applyAlignment="1">
      <alignment horizontal="center" vertical="center" wrapText="1"/>
    </xf>
    <xf numFmtId="168" fontId="14" fillId="0" borderId="0" xfId="1" applyNumberFormat="1" applyFont="1" applyFill="1" applyAlignment="1">
      <alignment horizontal="center" vertical="center" wrapText="1"/>
    </xf>
    <xf numFmtId="0" fontId="13" fillId="0" borderId="0" xfId="2" applyFont="1" applyAlignment="1">
      <alignment horizontal="left" vertical="center"/>
    </xf>
    <xf numFmtId="0" fontId="14" fillId="0" borderId="0" xfId="2" applyFont="1" applyAlignment="1">
      <alignment horizontal="left" vertical="center" wrapText="1"/>
    </xf>
    <xf numFmtId="0" fontId="14" fillId="0" borderId="0" xfId="2" applyFont="1" applyAlignment="1">
      <alignment horizontal="left" vertical="center"/>
    </xf>
    <xf numFmtId="0" fontId="13" fillId="0" borderId="0" xfId="2" applyFont="1" applyAlignment="1">
      <alignment horizontal="center" vertical="center"/>
    </xf>
    <xf numFmtId="0" fontId="14" fillId="0" borderId="1" xfId="2" applyFont="1" applyBorder="1" applyAlignment="1">
      <alignment horizontal="center" vertical="center"/>
    </xf>
    <xf numFmtId="0" fontId="13" fillId="0" borderId="1" xfId="2" applyFont="1" applyBorder="1" applyAlignment="1">
      <alignment vertical="center"/>
    </xf>
    <xf numFmtId="167" fontId="14" fillId="0" borderId="1" xfId="3" applyNumberFormat="1" applyFont="1" applyFill="1" applyBorder="1" applyAlignment="1">
      <alignment horizontal="center" vertical="center"/>
    </xf>
    <xf numFmtId="167" fontId="14" fillId="0" borderId="1" xfId="3" applyNumberFormat="1" applyFont="1" applyFill="1" applyBorder="1" applyAlignment="1">
      <alignment horizontal="center" vertical="center" wrapText="1"/>
    </xf>
    <xf numFmtId="168" fontId="14" fillId="0" borderId="1" xfId="1" applyNumberFormat="1" applyFont="1" applyFill="1" applyBorder="1" applyAlignment="1">
      <alignment horizontal="center" vertical="center" wrapText="1"/>
    </xf>
    <xf numFmtId="165" fontId="14" fillId="0" borderId="0" xfId="1" applyFont="1" applyFill="1" applyBorder="1" applyAlignment="1">
      <alignment horizontal="center" vertical="center"/>
    </xf>
    <xf numFmtId="169" fontId="14" fillId="0" borderId="0" xfId="3" applyNumberFormat="1" applyFont="1" applyFill="1" applyAlignment="1">
      <alignment horizontal="center" vertical="center"/>
    </xf>
    <xf numFmtId="0" fontId="15" fillId="0" borderId="0" xfId="2" applyFont="1"/>
    <xf numFmtId="167" fontId="15" fillId="0" borderId="0" xfId="3" applyNumberFormat="1" applyFont="1" applyFill="1"/>
    <xf numFmtId="168" fontId="15" fillId="0" borderId="0" xfId="1" applyNumberFormat="1" applyFont="1"/>
    <xf numFmtId="168" fontId="15" fillId="0" borderId="0" xfId="1" applyNumberFormat="1" applyFont="1" applyFill="1"/>
    <xf numFmtId="43" fontId="15" fillId="0" borderId="0" xfId="2" applyNumberFormat="1" applyFont="1"/>
    <xf numFmtId="0" fontId="16" fillId="0" borderId="0" xfId="2" applyFont="1"/>
    <xf numFmtId="167" fontId="16" fillId="0" borderId="0" xfId="3" applyNumberFormat="1" applyFont="1" applyFill="1"/>
    <xf numFmtId="168" fontId="16" fillId="0" borderId="0" xfId="1" applyNumberFormat="1" applyFont="1" applyFill="1"/>
    <xf numFmtId="0" fontId="17" fillId="0" borderId="0" xfId="2" applyFont="1"/>
    <xf numFmtId="0" fontId="17" fillId="0" borderId="0" xfId="2" applyFont="1" applyAlignment="1">
      <alignment horizontal="center" vertical="center"/>
    </xf>
    <xf numFmtId="0" fontId="17" fillId="0" borderId="0" xfId="2" applyFont="1" applyAlignment="1">
      <alignment vertical="center"/>
    </xf>
    <xf numFmtId="167" fontId="17" fillId="0" borderId="0" xfId="3" applyNumberFormat="1" applyFont="1" applyFill="1" applyAlignment="1">
      <alignment vertical="center"/>
    </xf>
    <xf numFmtId="167" fontId="17" fillId="0" borderId="0" xfId="2" applyNumberFormat="1" applyFont="1"/>
    <xf numFmtId="168" fontId="17" fillId="0" borderId="0" xfId="1" applyNumberFormat="1" applyFont="1" applyFill="1"/>
    <xf numFmtId="167" fontId="13" fillId="0" borderId="0" xfId="3" applyNumberFormat="1" applyFont="1" applyFill="1" applyBorder="1" applyAlignment="1">
      <alignment vertical="center" wrapText="1"/>
    </xf>
    <xf numFmtId="167" fontId="6" fillId="0" borderId="0" xfId="3" applyNumberFormat="1" applyFont="1" applyFill="1" applyBorder="1" applyAlignment="1">
      <alignment vertical="center" wrapText="1"/>
    </xf>
    <xf numFmtId="1" fontId="14" fillId="0" borderId="1" xfId="3" applyNumberFormat="1" applyFont="1" applyFill="1" applyBorder="1" applyAlignment="1">
      <alignment horizontal="center" vertical="center" wrapText="1"/>
    </xf>
    <xf numFmtId="167" fontId="13" fillId="0" borderId="3" xfId="3" applyNumberFormat="1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37" fontId="16" fillId="0" borderId="0" xfId="2" applyNumberFormat="1" applyFont="1"/>
    <xf numFmtId="167" fontId="16" fillId="0" borderId="0" xfId="2" applyNumberFormat="1" applyFont="1"/>
    <xf numFmtId="0" fontId="18" fillId="0" borderId="0" xfId="0" applyFont="1"/>
    <xf numFmtId="0" fontId="19" fillId="0" borderId="0" xfId="0" applyFont="1"/>
    <xf numFmtId="0" fontId="19" fillId="0" borderId="0" xfId="0" applyFont="1" applyAlignment="1">
      <alignment vertical="top"/>
    </xf>
    <xf numFmtId="0" fontId="19" fillId="0" borderId="0" xfId="0" applyFont="1" applyAlignment="1">
      <alignment vertical="center"/>
    </xf>
    <xf numFmtId="0" fontId="19" fillId="0" borderId="0" xfId="0" applyFont="1" applyAlignment="1">
      <alignment horizontal="center"/>
    </xf>
    <xf numFmtId="168" fontId="19" fillId="0" borderId="0" xfId="0" applyNumberFormat="1" applyFont="1"/>
    <xf numFmtId="168" fontId="20" fillId="0" borderId="1" xfId="1" applyNumberFormat="1" applyFont="1" applyBorder="1" applyAlignment="1">
      <alignment vertical="center"/>
    </xf>
    <xf numFmtId="168" fontId="20" fillId="0" borderId="1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vertical="center"/>
    </xf>
    <xf numFmtId="0" fontId="20" fillId="0" borderId="0" xfId="0" applyFont="1" applyAlignment="1">
      <alignment vertical="center"/>
    </xf>
    <xf numFmtId="168" fontId="20" fillId="0" borderId="1" xfId="0" applyNumberFormat="1" applyFont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22" fillId="0" borderId="0" xfId="2" applyFont="1" applyAlignment="1">
      <alignment horizontal="center" vertical="center"/>
    </xf>
    <xf numFmtId="49" fontId="22" fillId="0" borderId="0" xfId="2" applyNumberFormat="1" applyFont="1" applyAlignment="1">
      <alignment vertical="center"/>
    </xf>
    <xf numFmtId="0" fontId="22" fillId="0" borderId="0" xfId="2" applyFont="1" applyAlignment="1">
      <alignment vertical="center"/>
    </xf>
    <xf numFmtId="168" fontId="18" fillId="0" borderId="0" xfId="0" applyNumberFormat="1" applyFont="1"/>
    <xf numFmtId="0" fontId="15" fillId="3" borderId="0" xfId="2" applyFont="1" applyFill="1"/>
    <xf numFmtId="167" fontId="14" fillId="0" borderId="1" xfId="3" applyNumberFormat="1" applyFont="1" applyFill="1" applyBorder="1" applyAlignment="1">
      <alignment vertical="center" wrapText="1"/>
    </xf>
    <xf numFmtId="0" fontId="13" fillId="4" borderId="1" xfId="2" applyFont="1" applyFill="1" applyBorder="1" applyAlignment="1">
      <alignment horizontal="center" vertical="center"/>
    </xf>
    <xf numFmtId="0" fontId="13" fillId="4" borderId="1" xfId="2" applyFont="1" applyFill="1" applyBorder="1" applyAlignment="1">
      <alignment horizontal="center" vertical="center" wrapText="1"/>
    </xf>
    <xf numFmtId="166" fontId="13" fillId="4" borderId="1" xfId="3" applyNumberFormat="1" applyFont="1" applyFill="1" applyBorder="1" applyAlignment="1">
      <alignment horizontal="center" vertical="center" wrapText="1"/>
    </xf>
    <xf numFmtId="167" fontId="13" fillId="4" borderId="1" xfId="3" applyNumberFormat="1" applyFont="1" applyFill="1" applyBorder="1" applyAlignment="1">
      <alignment horizontal="center" vertical="center" wrapText="1"/>
    </xf>
    <xf numFmtId="168" fontId="13" fillId="4" borderId="1" xfId="1" applyNumberFormat="1" applyFont="1" applyFill="1" applyBorder="1" applyAlignment="1">
      <alignment horizontal="center" vertical="center" wrapText="1"/>
    </xf>
    <xf numFmtId="37" fontId="13" fillId="4" borderId="1" xfId="3" applyNumberFormat="1" applyFont="1" applyFill="1" applyBorder="1" applyAlignment="1">
      <alignment horizontal="center" vertical="center"/>
    </xf>
    <xf numFmtId="169" fontId="14" fillId="4" borderId="1" xfId="3" applyNumberFormat="1" applyFont="1" applyFill="1" applyBorder="1" applyAlignment="1">
      <alignment horizontal="center" vertical="center"/>
    </xf>
    <xf numFmtId="169" fontId="13" fillId="4" borderId="1" xfId="3" applyNumberFormat="1" applyFont="1" applyFill="1" applyBorder="1" applyAlignment="1">
      <alignment horizontal="center" vertical="center"/>
    </xf>
    <xf numFmtId="169" fontId="13" fillId="4" borderId="1" xfId="3" applyNumberFormat="1" applyFont="1" applyFill="1" applyBorder="1" applyAlignment="1">
      <alignment vertical="center"/>
    </xf>
    <xf numFmtId="167" fontId="6" fillId="0" borderId="0" xfId="3" applyNumberFormat="1" applyFont="1" applyFill="1" applyBorder="1" applyAlignment="1">
      <alignment vertical="center"/>
    </xf>
    <xf numFmtId="167" fontId="13" fillId="0" borderId="0" xfId="3" applyNumberFormat="1" applyFont="1" applyFill="1" applyBorder="1" applyAlignment="1">
      <alignment vertical="center"/>
    </xf>
    <xf numFmtId="0" fontId="18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14" fillId="0" borderId="1" xfId="2" applyFont="1" applyBorder="1" applyAlignment="1">
      <alignment horizontal="left" vertical="center"/>
    </xf>
    <xf numFmtId="0" fontId="14" fillId="0" borderId="1" xfId="2" applyFont="1" applyBorder="1" applyAlignment="1">
      <alignment vertical="center"/>
    </xf>
    <xf numFmtId="0" fontId="14" fillId="0" borderId="0" xfId="2" applyFont="1" applyAlignment="1">
      <alignment horizontal="center" vertical="center" wrapText="1"/>
    </xf>
    <xf numFmtId="0" fontId="13" fillId="0" borderId="1" xfId="2" applyFont="1" applyBorder="1" applyAlignment="1">
      <alignment horizontal="center" vertical="center"/>
    </xf>
    <xf numFmtId="0" fontId="16" fillId="0" borderId="0" xfId="2" applyFont="1" applyAlignment="1">
      <alignment horizontal="center"/>
    </xf>
    <xf numFmtId="0" fontId="15" fillId="0" borderId="0" xfId="2" applyFont="1" applyAlignment="1">
      <alignment horizontal="center"/>
    </xf>
    <xf numFmtId="0" fontId="13" fillId="0" borderId="0" xfId="2" applyFont="1" applyAlignment="1">
      <alignment vertical="center"/>
    </xf>
    <xf numFmtId="0" fontId="14" fillId="0" borderId="0" xfId="2" applyFont="1" applyAlignment="1">
      <alignment vertical="center"/>
    </xf>
    <xf numFmtId="167" fontId="14" fillId="0" borderId="0" xfId="3" applyNumberFormat="1" applyFont="1" applyFill="1" applyBorder="1" applyAlignment="1">
      <alignment horizontal="center" vertical="center"/>
    </xf>
    <xf numFmtId="1" fontId="14" fillId="0" borderId="0" xfId="3" applyNumberFormat="1" applyFont="1" applyFill="1" applyBorder="1" applyAlignment="1">
      <alignment horizontal="center" vertical="center" wrapText="1"/>
    </xf>
    <xf numFmtId="167" fontId="14" fillId="0" borderId="0" xfId="3" applyNumberFormat="1" applyFont="1" applyFill="1" applyBorder="1" applyAlignment="1">
      <alignment horizontal="center" vertical="center" wrapText="1"/>
    </xf>
    <xf numFmtId="167" fontId="14" fillId="0" borderId="0" xfId="3" applyNumberFormat="1" applyFont="1" applyFill="1" applyBorder="1" applyAlignment="1">
      <alignment vertical="center" wrapText="1"/>
    </xf>
    <xf numFmtId="168" fontId="14" fillId="0" borderId="0" xfId="1" applyNumberFormat="1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170" fontId="13" fillId="0" borderId="0" xfId="8" applyNumberFormat="1" applyFont="1" applyFill="1" applyBorder="1" applyAlignment="1">
      <alignment vertical="center" wrapText="1"/>
    </xf>
    <xf numFmtId="169" fontId="13" fillId="0" borderId="0" xfId="3" applyNumberFormat="1" applyFont="1" applyFill="1" applyBorder="1" applyAlignment="1">
      <alignment vertical="center"/>
    </xf>
    <xf numFmtId="169" fontId="13" fillId="0" borderId="0" xfId="3" applyNumberFormat="1" applyFont="1" applyFill="1" applyBorder="1" applyAlignment="1">
      <alignment horizontal="center" vertical="center"/>
    </xf>
    <xf numFmtId="37" fontId="13" fillId="0" borderId="0" xfId="3" applyNumberFormat="1" applyFont="1" applyFill="1" applyBorder="1" applyAlignment="1">
      <alignment horizontal="center" vertical="center"/>
    </xf>
    <xf numFmtId="37" fontId="13" fillId="0" borderId="2" xfId="3" applyNumberFormat="1" applyFont="1" applyFill="1" applyBorder="1" applyAlignment="1">
      <alignment horizontal="center" vertical="center"/>
    </xf>
    <xf numFmtId="169" fontId="14" fillId="0" borderId="0" xfId="3" applyNumberFormat="1" applyFont="1" applyFill="1" applyBorder="1" applyAlignment="1">
      <alignment horizontal="center" vertical="center"/>
    </xf>
    <xf numFmtId="168" fontId="20" fillId="0" borderId="1" xfId="1" applyNumberFormat="1" applyFont="1" applyBorder="1" applyAlignment="1">
      <alignment horizontal="right" vertical="center"/>
    </xf>
    <xf numFmtId="168" fontId="14" fillId="0" borderId="1" xfId="1" applyNumberFormat="1" applyFont="1" applyFill="1" applyBorder="1" applyAlignment="1">
      <alignment horizontal="right" vertical="center"/>
    </xf>
    <xf numFmtId="168" fontId="19" fillId="0" borderId="1" xfId="0" applyNumberFormat="1" applyFont="1" applyBorder="1" applyAlignment="1">
      <alignment horizontal="right" vertical="center"/>
    </xf>
    <xf numFmtId="37" fontId="18" fillId="0" borderId="0" xfId="0" applyNumberFormat="1" applyFont="1"/>
    <xf numFmtId="0" fontId="18" fillId="0" borderId="0" xfId="0" applyFont="1" applyAlignment="1">
      <alignment wrapText="1"/>
    </xf>
    <xf numFmtId="0" fontId="22" fillId="4" borderId="1" xfId="2" applyFont="1" applyFill="1" applyBorder="1" applyAlignment="1">
      <alignment horizontal="center" vertical="center"/>
    </xf>
    <xf numFmtId="0" fontId="22" fillId="4" borderId="1" xfId="2" applyFont="1" applyFill="1" applyBorder="1" applyAlignment="1">
      <alignment horizontal="center" vertical="center" wrapText="1"/>
    </xf>
    <xf numFmtId="0" fontId="15" fillId="0" borderId="1" xfId="2" applyFont="1" applyBorder="1" applyAlignment="1">
      <alignment horizontal="center" vertical="center"/>
    </xf>
    <xf numFmtId="0" fontId="22" fillId="0" borderId="1" xfId="2" applyFont="1" applyBorder="1" applyAlignment="1">
      <alignment vertical="center"/>
    </xf>
    <xf numFmtId="0" fontId="15" fillId="0" borderId="1" xfId="2" applyFont="1" applyBorder="1" applyAlignment="1">
      <alignment vertical="center" wrapText="1"/>
    </xf>
    <xf numFmtId="0" fontId="15" fillId="0" borderId="1" xfId="2" applyFont="1" applyBorder="1" applyAlignment="1">
      <alignment vertical="center"/>
    </xf>
    <xf numFmtId="0" fontId="15" fillId="0" borderId="0" xfId="2" applyFont="1" applyAlignment="1">
      <alignment horizontal="center" vertical="center"/>
    </xf>
    <xf numFmtId="0" fontId="15" fillId="0" borderId="0" xfId="2" applyFont="1" applyAlignment="1">
      <alignment vertical="center" wrapText="1"/>
    </xf>
    <xf numFmtId="0" fontId="15" fillId="0" borderId="0" xfId="2" applyFont="1" applyAlignment="1">
      <alignment vertical="center"/>
    </xf>
    <xf numFmtId="0" fontId="15" fillId="0" borderId="1" xfId="2" applyFont="1" applyBorder="1" applyAlignment="1">
      <alignment horizontal="left" vertical="center" wrapText="1"/>
    </xf>
    <xf numFmtId="37" fontId="22" fillId="4" borderId="1" xfId="2" applyNumberFormat="1" applyFont="1" applyFill="1" applyBorder="1" applyAlignment="1">
      <alignment horizontal="center" vertical="center" wrapText="1"/>
    </xf>
    <xf numFmtId="37" fontId="18" fillId="0" borderId="1" xfId="0" applyNumberFormat="1" applyFont="1" applyBorder="1"/>
    <xf numFmtId="0" fontId="22" fillId="0" borderId="1" xfId="2" applyFont="1" applyBorder="1" applyAlignment="1">
      <alignment horizontal="left" vertical="center"/>
    </xf>
    <xf numFmtId="0" fontId="22" fillId="0" borderId="0" xfId="2" applyFont="1" applyAlignment="1">
      <alignment horizontal="left" vertical="center"/>
    </xf>
    <xf numFmtId="0" fontId="15" fillId="0" borderId="0" xfId="2" applyFont="1" applyAlignment="1">
      <alignment horizontal="left" vertical="center" wrapText="1"/>
    </xf>
    <xf numFmtId="0" fontId="24" fillId="0" borderId="0" xfId="0" applyFont="1"/>
    <xf numFmtId="0" fontId="24" fillId="5" borderId="0" xfId="0" applyFont="1" applyFill="1"/>
    <xf numFmtId="0" fontId="24" fillId="5" borderId="0" xfId="0" applyFont="1" applyFill="1" applyAlignment="1">
      <alignment wrapText="1"/>
    </xf>
    <xf numFmtId="37" fontId="24" fillId="5" borderId="0" xfId="0" applyNumberFormat="1" applyFont="1" applyFill="1"/>
    <xf numFmtId="43" fontId="14" fillId="0" borderId="0" xfId="2" applyNumberFormat="1" applyFont="1" applyAlignment="1">
      <alignment horizontal="center" vertical="center"/>
    </xf>
    <xf numFmtId="167" fontId="14" fillId="0" borderId="0" xfId="2" applyNumberFormat="1" applyFont="1" applyAlignment="1">
      <alignment horizontal="center" vertical="center"/>
    </xf>
    <xf numFmtId="167" fontId="13" fillId="0" borderId="0" xfId="3" applyNumberFormat="1" applyFont="1" applyFill="1" applyBorder="1" applyAlignment="1">
      <alignment horizontal="center" vertical="center" wrapText="1"/>
    </xf>
    <xf numFmtId="169" fontId="3" fillId="2" borderId="1" xfId="3" applyNumberFormat="1" applyFont="1" applyFill="1" applyBorder="1" applyAlignment="1">
      <alignment horizontal="center" vertical="center" wrapText="1"/>
    </xf>
    <xf numFmtId="169" fontId="3" fillId="2" borderId="1" xfId="3" applyNumberFormat="1" applyFont="1" applyFill="1" applyBorder="1" applyAlignment="1">
      <alignment horizontal="center" vertical="center"/>
    </xf>
    <xf numFmtId="0" fontId="3" fillId="0" borderId="0" xfId="2" applyFont="1" applyAlignment="1">
      <alignment horizontal="left" vertical="center"/>
    </xf>
    <xf numFmtId="167" fontId="5" fillId="0" borderId="0" xfId="3" applyNumberFormat="1" applyFont="1" applyFill="1" applyBorder="1" applyAlignment="1">
      <alignment horizontal="center" vertical="center" wrapText="1"/>
    </xf>
    <xf numFmtId="167" fontId="3" fillId="0" borderId="0" xfId="3" applyNumberFormat="1" applyFont="1" applyFill="1" applyBorder="1" applyAlignment="1">
      <alignment horizontal="center" vertical="center" wrapText="1"/>
    </xf>
    <xf numFmtId="0" fontId="3" fillId="2" borderId="1" xfId="2" applyFont="1" applyFill="1" applyBorder="1" applyAlignment="1">
      <alignment horizontal="center" vertical="center"/>
    </xf>
    <xf numFmtId="0" fontId="13" fillId="4" borderId="1" xfId="2" applyFont="1" applyFill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9" fillId="4" borderId="7" xfId="0" applyFont="1" applyFill="1" applyBorder="1" applyAlignment="1">
      <alignment horizontal="center" vertical="center"/>
    </xf>
    <xf numFmtId="0" fontId="19" fillId="4" borderId="8" xfId="0" applyFont="1" applyFill="1" applyBorder="1" applyAlignment="1">
      <alignment horizontal="center" vertical="center"/>
    </xf>
    <xf numFmtId="0" fontId="21" fillId="0" borderId="0" xfId="0" applyFont="1" applyAlignment="1">
      <alignment horizontal="center"/>
    </xf>
    <xf numFmtId="0" fontId="22" fillId="0" borderId="0" xfId="2" applyFont="1" applyAlignment="1">
      <alignment horizontal="center" vertical="center"/>
    </xf>
    <xf numFmtId="0" fontId="19" fillId="4" borderId="1" xfId="0" applyFont="1" applyFill="1" applyBorder="1" applyAlignment="1">
      <alignment horizontal="center" vertical="center"/>
    </xf>
    <xf numFmtId="0" fontId="13" fillId="4" borderId="7" xfId="2" applyFont="1" applyFill="1" applyBorder="1" applyAlignment="1">
      <alignment horizontal="center" vertical="center" wrapText="1"/>
    </xf>
    <xf numFmtId="0" fontId="13" fillId="4" borderId="8" xfId="2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167" fontId="13" fillId="4" borderId="4" xfId="3" applyNumberFormat="1" applyFont="1" applyFill="1" applyBorder="1" applyAlignment="1">
      <alignment horizontal="center" vertical="center" wrapText="1"/>
    </xf>
    <xf numFmtId="167" fontId="13" fillId="4" borderId="6" xfId="3" applyNumberFormat="1" applyFont="1" applyFill="1" applyBorder="1" applyAlignment="1">
      <alignment horizontal="center" vertical="center" wrapText="1"/>
    </xf>
    <xf numFmtId="167" fontId="13" fillId="4" borderId="5" xfId="3" applyNumberFormat="1" applyFont="1" applyFill="1" applyBorder="1" applyAlignment="1">
      <alignment horizontal="center" vertical="center" wrapText="1"/>
    </xf>
    <xf numFmtId="167" fontId="13" fillId="4" borderId="9" xfId="3" applyNumberFormat="1" applyFont="1" applyFill="1" applyBorder="1" applyAlignment="1">
      <alignment horizontal="center" vertical="center" wrapText="1"/>
    </xf>
    <xf numFmtId="167" fontId="13" fillId="4" borderId="2" xfId="3" applyNumberFormat="1" applyFont="1" applyFill="1" applyBorder="1" applyAlignment="1">
      <alignment horizontal="center" vertical="center" wrapText="1"/>
    </xf>
    <xf numFmtId="167" fontId="13" fillId="4" borderId="10" xfId="3" applyNumberFormat="1" applyFont="1" applyFill="1" applyBorder="1" applyAlignment="1">
      <alignment horizontal="center" vertical="center" wrapText="1"/>
    </xf>
  </cellXfs>
  <cellStyles count="9">
    <cellStyle name="Comma" xfId="1" builtinId="3"/>
    <cellStyle name="Comma 14" xfId="7" xr:uid="{00000000-0005-0000-0000-000001000000}"/>
    <cellStyle name="Comma 2" xfId="3" xr:uid="{00000000-0005-0000-0000-000002000000}"/>
    <cellStyle name="Comma 3" xfId="5" xr:uid="{00000000-0005-0000-0000-000003000000}"/>
    <cellStyle name="Normal" xfId="0" builtinId="0"/>
    <cellStyle name="Normal 2" xfId="2" xr:uid="{00000000-0005-0000-0000-000005000000}"/>
    <cellStyle name="Normal 2 2" xfId="6" xr:uid="{00000000-0005-0000-0000-000006000000}"/>
    <cellStyle name="Normal 3" xfId="4" xr:uid="{00000000-0005-0000-0000-000007000000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12</xdr:row>
      <xdr:rowOff>0</xdr:rowOff>
    </xdr:from>
    <xdr:to>
      <xdr:col>18</xdr:col>
      <xdr:colOff>676243</xdr:colOff>
      <xdr:row>44</xdr:row>
      <xdr:rowOff>144503</xdr:rowOff>
    </xdr:to>
    <xdr:sp macro="" textlink="">
      <xdr:nvSpPr>
        <xdr:cNvPr id="2" name="AutoShape 3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4038600" y="6657975"/>
          <a:ext cx="12652375" cy="6194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dmin" id="{73368F3A-FA54-46D3-854E-C287834C7E7A}" userId="Admin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7" dT="2024-07-31T09:05:43.74" personId="{73368F3A-FA54-46D3-854E-C287834C7E7A}" id="{10633BAB-8CAD-4903-B85F-CFEB504ECDF7}">
    <text>29/07/2024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6"/>
  <sheetViews>
    <sheetView topLeftCell="A4" zoomScale="78" zoomScaleNormal="78" workbookViewId="0">
      <selection activeCell="E8" sqref="E8"/>
    </sheetView>
  </sheetViews>
  <sheetFormatPr defaultColWidth="9" defaultRowHeight="13.8" x14ac:dyDescent="0.25"/>
  <cols>
    <col min="1" max="1" width="6.21875" style="46" customWidth="1"/>
    <col min="2" max="2" width="27.77734375" style="46" bestFit="1" customWidth="1"/>
    <col min="3" max="4" width="36.44140625" style="47" hidden="1" customWidth="1"/>
    <col min="5" max="5" width="18.21875" style="46" customWidth="1"/>
    <col min="6" max="6" width="14" style="46" customWidth="1"/>
    <col min="7" max="7" width="14.77734375" style="48" customWidth="1"/>
    <col min="8" max="8" width="13.44140625" style="46" customWidth="1"/>
    <col min="9" max="9" width="10.77734375" style="46" customWidth="1"/>
    <col min="10" max="10" width="7.44140625" style="46" customWidth="1"/>
    <col min="11" max="11" width="14.21875" style="46" customWidth="1"/>
    <col min="12" max="12" width="19.44140625" style="46" customWidth="1"/>
    <col min="13" max="13" width="14.77734375" style="46" customWidth="1"/>
    <col min="14" max="14" width="13.21875" style="46" customWidth="1"/>
    <col min="15" max="15" width="15.77734375" style="46" customWidth="1"/>
    <col min="16" max="16" width="18" style="49" customWidth="1"/>
    <col min="17" max="17" width="9.44140625" style="46" customWidth="1"/>
    <col min="18" max="18" width="13.44140625" style="46" customWidth="1"/>
    <col min="19" max="19" width="14" style="46" customWidth="1"/>
    <col min="20" max="20" width="17.44140625" style="46" customWidth="1"/>
    <col min="21" max="21" width="11.44140625" style="46" customWidth="1"/>
    <col min="22" max="22" width="21.44140625" style="46" customWidth="1"/>
    <col min="23" max="23" width="22.21875" style="46" customWidth="1"/>
    <col min="24" max="24" width="22.44140625" style="46" customWidth="1"/>
    <col min="25" max="25" width="17.44140625" style="46" bestFit="1" customWidth="1"/>
    <col min="26" max="16384" width="9" style="46"/>
  </cols>
  <sheetData>
    <row r="1" spans="1:25" s="1" customFormat="1" ht="22.5" customHeight="1" x14ac:dyDescent="0.3">
      <c r="A1" s="175" t="s">
        <v>46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41"/>
    </row>
    <row r="2" spans="1:25" s="1" customFormat="1" ht="15" x14ac:dyDescent="0.3">
      <c r="A2" s="2" t="s">
        <v>53</v>
      </c>
      <c r="B2" s="2"/>
      <c r="C2" s="3"/>
      <c r="D2" s="3"/>
      <c r="E2" s="37"/>
      <c r="F2" s="38"/>
      <c r="G2" s="38"/>
      <c r="H2" s="4"/>
      <c r="I2" s="4"/>
      <c r="J2" s="4"/>
      <c r="K2" s="4"/>
      <c r="L2" s="5"/>
      <c r="M2" s="5"/>
      <c r="N2" s="5"/>
      <c r="O2" s="5"/>
      <c r="P2" s="6"/>
      <c r="Q2" s="5"/>
      <c r="R2" s="5"/>
      <c r="S2" s="5"/>
      <c r="T2" s="5"/>
      <c r="U2" s="5"/>
      <c r="V2" s="7"/>
    </row>
    <row r="3" spans="1:25" s="1" customFormat="1" ht="46.05" customHeight="1" x14ac:dyDescent="0.3">
      <c r="C3" s="8"/>
      <c r="D3" s="8"/>
      <c r="E3" s="37"/>
      <c r="F3" s="6"/>
      <c r="G3" s="176" t="s">
        <v>0</v>
      </c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7"/>
    </row>
    <row r="4" spans="1:25" s="1" customFormat="1" ht="28.5" customHeight="1" x14ac:dyDescent="0.3">
      <c r="B4" s="9"/>
      <c r="C4" s="10"/>
      <c r="D4" s="10"/>
      <c r="E4" s="37" t="s">
        <v>51</v>
      </c>
      <c r="F4" s="39">
        <v>23</v>
      </c>
      <c r="G4" s="177" t="s">
        <v>47</v>
      </c>
      <c r="H4" s="177"/>
      <c r="I4" s="177"/>
      <c r="J4" s="177"/>
      <c r="K4" s="177"/>
      <c r="L4" s="177"/>
      <c r="M4" s="177"/>
      <c r="N4" s="177"/>
      <c r="O4" s="177"/>
      <c r="P4" s="177"/>
      <c r="Q4" s="177"/>
      <c r="R4" s="177"/>
      <c r="S4" s="177"/>
      <c r="T4" s="177"/>
      <c r="U4" s="177"/>
      <c r="V4" s="7"/>
    </row>
    <row r="5" spans="1:25" s="1" customFormat="1" ht="60" x14ac:dyDescent="0.3">
      <c r="A5" s="178" t="s">
        <v>1</v>
      </c>
      <c r="B5" s="16" t="s">
        <v>2</v>
      </c>
      <c r="C5" s="11" t="s">
        <v>3</v>
      </c>
      <c r="D5" s="11" t="s">
        <v>4</v>
      </c>
      <c r="E5" s="12" t="s">
        <v>5</v>
      </c>
      <c r="F5" s="13" t="s">
        <v>6</v>
      </c>
      <c r="G5" s="14" t="s">
        <v>7</v>
      </c>
      <c r="H5" s="14" t="s">
        <v>8</v>
      </c>
      <c r="I5" s="14" t="s">
        <v>9</v>
      </c>
      <c r="J5" s="14" t="s">
        <v>10</v>
      </c>
      <c r="K5" s="14" t="s">
        <v>11</v>
      </c>
      <c r="L5" s="14" t="s">
        <v>12</v>
      </c>
      <c r="M5" s="14" t="s">
        <v>13</v>
      </c>
      <c r="N5" s="14" t="s">
        <v>14</v>
      </c>
      <c r="O5" s="14" t="s">
        <v>15</v>
      </c>
      <c r="P5" s="15" t="s">
        <v>16</v>
      </c>
      <c r="Q5" s="14" t="s">
        <v>17</v>
      </c>
      <c r="R5" s="14" t="s">
        <v>18</v>
      </c>
      <c r="S5" s="14" t="s">
        <v>19</v>
      </c>
      <c r="T5" s="14" t="s">
        <v>20</v>
      </c>
      <c r="U5" s="14" t="s">
        <v>21</v>
      </c>
      <c r="V5" s="28" t="s">
        <v>22</v>
      </c>
    </row>
    <row r="6" spans="1:25" s="34" customFormat="1" ht="60" x14ac:dyDescent="0.3">
      <c r="A6" s="178"/>
      <c r="B6" s="16" t="s">
        <v>23</v>
      </c>
      <c r="C6" s="11"/>
      <c r="D6" s="11"/>
      <c r="E6" s="16" t="s">
        <v>24</v>
      </c>
      <c r="F6" s="30" t="s">
        <v>25</v>
      </c>
      <c r="G6" s="31" t="s">
        <v>26</v>
      </c>
      <c r="H6" s="31" t="s">
        <v>27</v>
      </c>
      <c r="I6" s="31" t="s">
        <v>28</v>
      </c>
      <c r="J6" s="31" t="s">
        <v>48</v>
      </c>
      <c r="K6" s="31" t="s">
        <v>49</v>
      </c>
      <c r="L6" s="31" t="s">
        <v>29</v>
      </c>
      <c r="M6" s="31" t="s">
        <v>30</v>
      </c>
      <c r="N6" s="31" t="s">
        <v>50</v>
      </c>
      <c r="O6" s="31" t="s">
        <v>31</v>
      </c>
      <c r="P6" s="32" t="s">
        <v>32</v>
      </c>
      <c r="Q6" s="31" t="s">
        <v>33</v>
      </c>
      <c r="R6" s="31" t="s">
        <v>34</v>
      </c>
      <c r="S6" s="31" t="s">
        <v>35</v>
      </c>
      <c r="T6" s="31" t="s">
        <v>36</v>
      </c>
      <c r="U6" s="31" t="s">
        <v>37</v>
      </c>
      <c r="V6" s="33" t="s">
        <v>38</v>
      </c>
    </row>
    <row r="7" spans="1:25" s="1" customFormat="1" ht="38.1" hidden="1" customHeight="1" x14ac:dyDescent="0.3">
      <c r="A7" s="17"/>
      <c r="B7" s="42" t="s">
        <v>43</v>
      </c>
      <c r="C7" s="43"/>
      <c r="D7" s="43"/>
      <c r="E7" s="18"/>
      <c r="F7" s="19"/>
      <c r="G7" s="20">
        <f>+E7*F7/$F$4</f>
        <v>0</v>
      </c>
      <c r="H7" s="20">
        <f>E3*F7</f>
        <v>0</v>
      </c>
      <c r="I7" s="20"/>
      <c r="J7" s="20"/>
      <c r="K7" s="20"/>
      <c r="L7" s="20">
        <f>SUM(G7:K7)</f>
        <v>0</v>
      </c>
      <c r="M7" s="20">
        <f>(L7-H7-I7)</f>
        <v>0</v>
      </c>
      <c r="N7" s="20"/>
      <c r="O7" s="20">
        <v>0</v>
      </c>
      <c r="P7" s="21">
        <f>IF(M7-N7-O7*4400000-S7&lt;0,0,M7-N7-O7*4400000-S7)</f>
        <v>0</v>
      </c>
      <c r="Q7" s="21">
        <f t="shared" ref="Q7" si="0">IF(P7&lt;=5000000,P7*5%,IF(P7&lt;=10000000,P7*10%-250000,IF(P7&lt;=18000000,P7*15%-750000,IF(P7&lt;=32000000,P7*20%-1650000,IF(P7&lt;=52000000,P7*25%-3250000,IF(P7&lt;=80000000,P7*30%-5850000))))))</f>
        <v>0</v>
      </c>
      <c r="R7" s="20"/>
      <c r="S7" s="20"/>
      <c r="T7" s="20">
        <f>ROUND(L7-Q7-S7,-3)</f>
        <v>0</v>
      </c>
      <c r="U7" s="20"/>
      <c r="V7" s="28"/>
      <c r="W7" s="22"/>
      <c r="X7" s="23"/>
      <c r="Y7" s="24"/>
    </row>
    <row r="8" spans="1:25" s="1" customFormat="1" ht="38.1" customHeight="1" x14ac:dyDescent="0.3">
      <c r="A8" s="17">
        <v>1</v>
      </c>
      <c r="B8" s="44" t="s">
        <v>42</v>
      </c>
      <c r="C8" s="45"/>
      <c r="D8" s="45"/>
      <c r="E8" s="18">
        <f>12987000*85%</f>
        <v>11038950</v>
      </c>
      <c r="F8" s="19">
        <v>3</v>
      </c>
      <c r="G8" s="20">
        <f>+E8*F8/$F$4</f>
        <v>1439863.043478261</v>
      </c>
      <c r="H8" s="20">
        <f>35000*F8</f>
        <v>105000</v>
      </c>
      <c r="I8" s="20"/>
      <c r="J8" s="20"/>
      <c r="K8" s="20"/>
      <c r="L8" s="20">
        <f>SUM(G8:K8)</f>
        <v>1544863.043478261</v>
      </c>
      <c r="M8" s="20">
        <f t="shared" ref="M8:M10" si="1">(L8-H8-I8)</f>
        <v>1439863.043478261</v>
      </c>
      <c r="N8" s="20">
        <v>11000000</v>
      </c>
      <c r="O8" s="20">
        <v>4400000</v>
      </c>
      <c r="P8" s="21">
        <f>IF(M8-N8-O8*4400000-S8&lt;0,0,M8-N8-O8*4400000-S8)</f>
        <v>0</v>
      </c>
      <c r="Q8" s="21">
        <f t="shared" ref="Q8:Q10" si="2">IF(P8&lt;=5000000,P8*5%,IF(P8&lt;=10000000,P8*10%-250000,IF(P8&lt;=18000000,P8*15%-750000,IF(P8&lt;=32000000,P8*20%-1650000,IF(P8&lt;=52000000,P8*25%-3250000,IF(P8&lt;=80000000,P8*30%-5850000))))))</f>
        <v>0</v>
      </c>
      <c r="R8" s="35"/>
      <c r="S8" s="36"/>
      <c r="T8" s="20">
        <f>ROUND(L8-Q8-S8,-3)</f>
        <v>1545000</v>
      </c>
      <c r="U8" s="20"/>
      <c r="V8" s="28"/>
      <c r="W8" s="22"/>
      <c r="X8" s="23"/>
      <c r="Y8" s="24"/>
    </row>
    <row r="9" spans="1:25" s="1" customFormat="1" ht="38.1" customHeight="1" x14ac:dyDescent="0.3">
      <c r="A9" s="17">
        <v>2</v>
      </c>
      <c r="B9" s="44" t="s">
        <v>45</v>
      </c>
      <c r="C9" s="45"/>
      <c r="D9" s="45"/>
      <c r="E9" s="18">
        <f>20000000*85%</f>
        <v>17000000</v>
      </c>
      <c r="F9" s="19">
        <v>8</v>
      </c>
      <c r="G9" s="20">
        <f>+E9*F9/$F$4</f>
        <v>5913043.4782608692</v>
      </c>
      <c r="H9" s="20">
        <f t="shared" ref="H9:H10" si="3">35000*F9</f>
        <v>280000</v>
      </c>
      <c r="I9" s="20"/>
      <c r="J9" s="20"/>
      <c r="K9" s="20"/>
      <c r="L9" s="20">
        <f>SUM(G9:K9)</f>
        <v>6193043.4782608692</v>
      </c>
      <c r="M9" s="20">
        <f t="shared" si="1"/>
        <v>5913043.4782608692</v>
      </c>
      <c r="N9" s="20">
        <v>11000000</v>
      </c>
      <c r="O9" s="20">
        <v>4400000</v>
      </c>
      <c r="P9" s="21">
        <f>IF(M9-N9-O9*4400000-S9&lt;0,0,M9-N9-O9*4400000-S9)</f>
        <v>0</v>
      </c>
      <c r="Q9" s="21">
        <f t="shared" si="2"/>
        <v>0</v>
      </c>
      <c r="R9" s="35"/>
      <c r="S9" s="36"/>
      <c r="T9" s="21">
        <f>ROUND(L9-Q9-S9,-3)</f>
        <v>6193000</v>
      </c>
      <c r="U9" s="20"/>
      <c r="V9" s="28"/>
      <c r="W9" s="22"/>
      <c r="X9" s="23"/>
      <c r="Y9" s="24"/>
    </row>
    <row r="10" spans="1:25" s="1" customFormat="1" ht="49.05" customHeight="1" x14ac:dyDescent="0.3">
      <c r="A10" s="17">
        <v>3</v>
      </c>
      <c r="B10" s="44" t="s">
        <v>44</v>
      </c>
      <c r="C10" s="45"/>
      <c r="D10" s="45"/>
      <c r="E10" s="18">
        <v>5000000</v>
      </c>
      <c r="F10" s="19">
        <v>13</v>
      </c>
      <c r="G10" s="20">
        <f>+E10*F10/$F$4</f>
        <v>2826086.9565217393</v>
      </c>
      <c r="H10" s="20">
        <f t="shared" si="3"/>
        <v>455000</v>
      </c>
      <c r="I10" s="20"/>
      <c r="J10" s="20"/>
      <c r="K10" s="20"/>
      <c r="L10" s="20">
        <f>SUM(G10:K10)</f>
        <v>3281086.9565217393</v>
      </c>
      <c r="M10" s="20">
        <f t="shared" si="1"/>
        <v>2826086.9565217393</v>
      </c>
      <c r="N10" s="20">
        <v>11000000</v>
      </c>
      <c r="O10" s="20"/>
      <c r="P10" s="21">
        <f t="shared" ref="P10" si="4">IF(M10-N10-O10*4400000-S10&lt;0,0,M10-N10-O10*4400000-S10)</f>
        <v>0</v>
      </c>
      <c r="Q10" s="21">
        <f t="shared" si="2"/>
        <v>0</v>
      </c>
      <c r="R10" s="35"/>
      <c r="S10" s="36"/>
      <c r="T10" s="20">
        <f t="shared" ref="T10" si="5">ROUND(L10-Q10-S10,-3)</f>
        <v>3281000</v>
      </c>
      <c r="U10" s="20"/>
      <c r="V10" s="28"/>
      <c r="W10" s="22"/>
    </row>
    <row r="11" spans="1:25" s="27" customFormat="1" ht="37.049999999999997" customHeight="1" x14ac:dyDescent="0.3">
      <c r="A11" s="173" t="s">
        <v>39</v>
      </c>
      <c r="B11" s="174"/>
      <c r="C11" s="25"/>
      <c r="D11" s="25"/>
      <c r="E11" s="26">
        <f t="shared" ref="E11:S11" si="6">SUM(E7:E10)</f>
        <v>33038950</v>
      </c>
      <c r="F11" s="40">
        <f t="shared" si="6"/>
        <v>24</v>
      </c>
      <c r="G11" s="40">
        <f t="shared" si="6"/>
        <v>10178993.478260869</v>
      </c>
      <c r="H11" s="40">
        <f t="shared" si="6"/>
        <v>840000</v>
      </c>
      <c r="I11" s="40">
        <f t="shared" si="6"/>
        <v>0</v>
      </c>
      <c r="J11" s="40">
        <f t="shared" si="6"/>
        <v>0</v>
      </c>
      <c r="K11" s="40">
        <f t="shared" si="6"/>
        <v>0</v>
      </c>
      <c r="L11" s="40">
        <f t="shared" si="6"/>
        <v>11018993.478260869</v>
      </c>
      <c r="M11" s="40">
        <f t="shared" si="6"/>
        <v>10178993.478260869</v>
      </c>
      <c r="N11" s="40">
        <f t="shared" si="6"/>
        <v>33000000</v>
      </c>
      <c r="O11" s="40">
        <f t="shared" si="6"/>
        <v>8800000</v>
      </c>
      <c r="P11" s="40">
        <f t="shared" si="6"/>
        <v>0</v>
      </c>
      <c r="Q11" s="40">
        <f t="shared" si="6"/>
        <v>0</v>
      </c>
      <c r="R11" s="40">
        <f t="shared" si="6"/>
        <v>0</v>
      </c>
      <c r="S11" s="40">
        <f t="shared" si="6"/>
        <v>0</v>
      </c>
      <c r="T11" s="40">
        <f>SUM(T7:T10)</f>
        <v>11019000</v>
      </c>
      <c r="U11" s="26"/>
      <c r="V11" s="29"/>
    </row>
    <row r="12" spans="1:25" x14ac:dyDescent="0.25">
      <c r="V12" s="50"/>
    </row>
    <row r="13" spans="1:25" s="51" customFormat="1" ht="31.5" customHeight="1" x14ac:dyDescent="0.3">
      <c r="B13" s="52" t="s">
        <v>40</v>
      </c>
      <c r="C13" s="53"/>
      <c r="D13" s="53"/>
      <c r="E13" s="54"/>
      <c r="F13" s="54"/>
      <c r="G13" s="55"/>
      <c r="H13" s="54"/>
      <c r="I13" s="54" t="s">
        <v>52</v>
      </c>
      <c r="M13" s="56"/>
      <c r="N13" s="56"/>
      <c r="P13" s="57"/>
      <c r="S13" s="51" t="s">
        <v>41</v>
      </c>
    </row>
    <row r="14" spans="1:25" x14ac:dyDescent="0.25">
      <c r="M14" s="48"/>
      <c r="N14" s="48"/>
    </row>
    <row r="16" spans="1:25" x14ac:dyDescent="0.25">
      <c r="H16" s="58"/>
    </row>
    <row r="26" spans="18:18" x14ac:dyDescent="0.25">
      <c r="R26" s="59"/>
    </row>
  </sheetData>
  <autoFilter ref="A6:Y9" xr:uid="{00000000-0009-0000-0000-000000000000}"/>
  <mergeCells count="5">
    <mergeCell ref="A11:B11"/>
    <mergeCell ref="A1:U1"/>
    <mergeCell ref="G3:U3"/>
    <mergeCell ref="G4:U4"/>
    <mergeCell ref="A5:A6"/>
  </mergeCells>
  <pageMargins left="0.2" right="0" top="0.25" bottom="0" header="0.25" footer="0.05"/>
  <pageSetup paperSize="9" scale="5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930A8-843C-487F-B0E2-AD3C9CCA76D2}">
  <dimension ref="B3:H16"/>
  <sheetViews>
    <sheetView tabSelected="1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G7" sqref="G7"/>
    </sheetView>
  </sheetViews>
  <sheetFormatPr defaultColWidth="8.77734375" defaultRowHeight="13.8" x14ac:dyDescent="0.25"/>
  <cols>
    <col min="1" max="2" width="8.77734375" style="95"/>
    <col min="3" max="3" width="19.21875" style="95" bestFit="1" customWidth="1"/>
    <col min="4" max="4" width="21.21875" style="150" customWidth="1"/>
    <col min="5" max="5" width="12.44140625" style="95" customWidth="1"/>
    <col min="6" max="6" width="15.109375" style="149" customWidth="1"/>
    <col min="7" max="7" width="14.33203125" style="149" customWidth="1"/>
    <col min="8" max="8" width="11.88671875" style="149" customWidth="1"/>
    <col min="9" max="16384" width="8.77734375" style="95"/>
  </cols>
  <sheetData>
    <row r="3" spans="2:8" ht="41.4" x14ac:dyDescent="0.25">
      <c r="B3" s="152" t="s">
        <v>86</v>
      </c>
      <c r="C3" s="151" t="s">
        <v>87</v>
      </c>
      <c r="D3" s="152" t="s">
        <v>88</v>
      </c>
      <c r="E3" s="152" t="s">
        <v>89</v>
      </c>
      <c r="F3" s="161" t="s">
        <v>98</v>
      </c>
      <c r="G3" s="161" t="s">
        <v>113</v>
      </c>
      <c r="H3" s="161" t="s">
        <v>114</v>
      </c>
    </row>
    <row r="4" spans="2:8" x14ac:dyDescent="0.25">
      <c r="B4" s="153">
        <v>1</v>
      </c>
      <c r="C4" s="154" t="s">
        <v>69</v>
      </c>
      <c r="D4" s="155" t="s">
        <v>83</v>
      </c>
      <c r="E4" s="156" t="s">
        <v>84</v>
      </c>
      <c r="F4" s="162">
        <f>SALARY!L5</f>
        <v>5000000</v>
      </c>
      <c r="G4" s="162">
        <f>SALARY!R5</f>
        <v>277777.77777777787</v>
      </c>
      <c r="H4" s="162">
        <f>SALARY!S5+SALARY!T5</f>
        <v>0</v>
      </c>
    </row>
    <row r="5" spans="2:8" x14ac:dyDescent="0.25">
      <c r="B5" s="153">
        <v>2</v>
      </c>
      <c r="C5" s="154" t="s">
        <v>71</v>
      </c>
      <c r="D5" s="155" t="s">
        <v>83</v>
      </c>
      <c r="E5" s="156" t="s">
        <v>84</v>
      </c>
      <c r="F5" s="162">
        <f>SALARY!L6</f>
        <v>20000000</v>
      </c>
      <c r="G5" s="162">
        <f>SALARY!R6</f>
        <v>242105.26315789475</v>
      </c>
      <c r="H5" s="162">
        <f>SALARY!S6+SALARY!T6</f>
        <v>6400000</v>
      </c>
    </row>
    <row r="6" spans="2:8" x14ac:dyDescent="0.25">
      <c r="B6" s="153">
        <v>3</v>
      </c>
      <c r="C6" s="154" t="s">
        <v>73</v>
      </c>
      <c r="D6" s="155" t="s">
        <v>83</v>
      </c>
      <c r="E6" s="156" t="s">
        <v>84</v>
      </c>
      <c r="F6" s="162">
        <f>SALARY!L7</f>
        <v>10000000</v>
      </c>
      <c r="G6" s="162">
        <f>SALARY!R7</f>
        <v>0</v>
      </c>
      <c r="H6" s="162">
        <f>SALARY!S7+SALARY!T7</f>
        <v>3200000</v>
      </c>
    </row>
    <row r="7" spans="2:8" x14ac:dyDescent="0.25">
      <c r="B7" s="153">
        <v>4</v>
      </c>
      <c r="C7" s="154" t="s">
        <v>74</v>
      </c>
      <c r="D7" s="155" t="s">
        <v>83</v>
      </c>
      <c r="E7" s="156" t="s">
        <v>84</v>
      </c>
      <c r="F7" s="162">
        <f>SALARY!L8</f>
        <v>12000000</v>
      </c>
      <c r="G7" s="162">
        <f>SALARY!R8</f>
        <v>1050000</v>
      </c>
      <c r="H7" s="162">
        <f>SALARY!S8+SALARY!T8</f>
        <v>0</v>
      </c>
    </row>
    <row r="8" spans="2:8" x14ac:dyDescent="0.25">
      <c r="B8" s="153">
        <v>5</v>
      </c>
      <c r="C8" s="154" t="s">
        <v>75</v>
      </c>
      <c r="D8" s="155" t="s">
        <v>83</v>
      </c>
      <c r="E8" s="156" t="s">
        <v>84</v>
      </c>
      <c r="F8" s="162">
        <f>SALARY!L9</f>
        <v>6800000</v>
      </c>
      <c r="G8" s="162">
        <f>SALARY!R9</f>
        <v>0</v>
      </c>
      <c r="H8" s="162">
        <f>SALARY!S9+SALARY!T9</f>
        <v>0</v>
      </c>
    </row>
    <row r="9" spans="2:8" x14ac:dyDescent="0.25">
      <c r="B9" s="153">
        <v>6</v>
      </c>
      <c r="C9" s="154" t="s">
        <v>81</v>
      </c>
      <c r="D9" s="155" t="s">
        <v>83</v>
      </c>
      <c r="E9" s="156" t="s">
        <v>84</v>
      </c>
      <c r="F9" s="162">
        <f>SALARY!L10</f>
        <v>7727273</v>
      </c>
      <c r="G9" s="162">
        <f>SALARY!R10</f>
        <v>0</v>
      </c>
      <c r="H9" s="162">
        <f>SALARY!S10+SALARY!T10</f>
        <v>0</v>
      </c>
    </row>
    <row r="10" spans="2:8" x14ac:dyDescent="0.25">
      <c r="B10" s="157"/>
      <c r="C10" s="109"/>
      <c r="D10" s="158"/>
      <c r="E10" s="159"/>
    </row>
    <row r="11" spans="2:8" x14ac:dyDescent="0.25">
      <c r="B11" s="153">
        <v>7</v>
      </c>
      <c r="C11" s="154" t="s">
        <v>70</v>
      </c>
      <c r="D11" s="160" t="s">
        <v>82</v>
      </c>
      <c r="E11" s="156" t="s">
        <v>84</v>
      </c>
      <c r="F11" s="162">
        <f>SALARY!L12</f>
        <v>10000000</v>
      </c>
      <c r="G11" s="162">
        <f>SALARY!R12</f>
        <v>1111111</v>
      </c>
      <c r="H11" s="162">
        <f>SALARY!S12+SALARY!T12</f>
        <v>0</v>
      </c>
    </row>
    <row r="12" spans="2:8" x14ac:dyDescent="0.25">
      <c r="B12" s="153">
        <v>8</v>
      </c>
      <c r="C12" s="154" t="s">
        <v>72</v>
      </c>
      <c r="D12" s="160" t="s">
        <v>82</v>
      </c>
      <c r="E12" s="156" t="s">
        <v>84</v>
      </c>
      <c r="F12" s="162">
        <f>SALARY!L13</f>
        <v>3000000</v>
      </c>
      <c r="G12" s="162">
        <f>SALARY!R13</f>
        <v>333333</v>
      </c>
      <c r="H12" s="162">
        <f>SALARY!S13+SALARY!T13</f>
        <v>0</v>
      </c>
    </row>
    <row r="13" spans="2:8" x14ac:dyDescent="0.25">
      <c r="B13" s="153">
        <v>9</v>
      </c>
      <c r="C13" s="154" t="s">
        <v>77</v>
      </c>
      <c r="D13" s="155" t="s">
        <v>82</v>
      </c>
      <c r="E13" s="156" t="s">
        <v>84</v>
      </c>
      <c r="F13" s="162">
        <f>SALARY!L14</f>
        <v>10000000</v>
      </c>
      <c r="G13" s="162">
        <f>SALARY!R14</f>
        <v>1111111</v>
      </c>
      <c r="H13" s="162">
        <f>SALARY!S14+SALARY!T14</f>
        <v>0</v>
      </c>
    </row>
    <row r="14" spans="2:8" x14ac:dyDescent="0.25">
      <c r="B14" s="153">
        <v>10</v>
      </c>
      <c r="C14" s="163" t="s">
        <v>76</v>
      </c>
      <c r="D14" s="160" t="s">
        <v>82</v>
      </c>
      <c r="E14" s="156" t="s">
        <v>84</v>
      </c>
      <c r="F14" s="162">
        <f>SALARY!L15</f>
        <v>3000000</v>
      </c>
      <c r="G14" s="162">
        <f>SALARY!R15</f>
        <v>333333</v>
      </c>
      <c r="H14" s="162">
        <f>SALARY!S15+SALARY!T15</f>
        <v>0</v>
      </c>
    </row>
    <row r="15" spans="2:8" x14ac:dyDescent="0.25">
      <c r="B15" s="157"/>
      <c r="C15" s="164"/>
      <c r="D15" s="165"/>
      <c r="E15" s="159"/>
    </row>
    <row r="16" spans="2:8" s="166" customFormat="1" x14ac:dyDescent="0.25">
      <c r="B16" s="167"/>
      <c r="C16" s="167" t="s">
        <v>55</v>
      </c>
      <c r="D16" s="168"/>
      <c r="E16" s="167"/>
      <c r="F16" s="169">
        <f>SUM(F4:F15)</f>
        <v>87527273</v>
      </c>
      <c r="G16" s="169">
        <f t="shared" ref="G16:H16" si="0">SUM(G4:G15)</f>
        <v>4458771.0409356728</v>
      </c>
      <c r="H16" s="169">
        <f t="shared" si="0"/>
        <v>9600000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2"/>
  <sheetViews>
    <sheetView zoomScale="70" zoomScaleNormal="70" workbookViewId="0">
      <pane xSplit="3" ySplit="4" topLeftCell="L5" activePane="bottomRight" state="frozen"/>
      <selection pane="topRight" activeCell="D1" sqref="D1"/>
      <selection pane="bottomLeft" activeCell="A5" sqref="A5"/>
      <selection pane="bottomRight" activeCell="T6" sqref="T6"/>
    </sheetView>
  </sheetViews>
  <sheetFormatPr defaultColWidth="9" defaultRowHeight="13.8" x14ac:dyDescent="0.25"/>
  <cols>
    <col min="1" max="1" width="10.44140625" style="74" customWidth="1"/>
    <col min="2" max="2" width="21.109375" style="74" customWidth="1"/>
    <col min="3" max="3" width="18.33203125" style="74" customWidth="1"/>
    <col min="4" max="4" width="13" style="74" customWidth="1"/>
    <col min="5" max="5" width="11.77734375" style="131" customWidth="1"/>
    <col min="6" max="6" width="15.88671875" style="74" customWidth="1"/>
    <col min="7" max="7" width="14.88671875" style="74" customWidth="1"/>
    <col min="8" max="8" width="11.6640625" style="74" customWidth="1"/>
    <col min="9" max="9" width="14.21875" style="75" customWidth="1"/>
    <col min="10" max="10" width="12.21875" style="74" bestFit="1" customWidth="1"/>
    <col min="11" max="11" width="10.109375" style="74" customWidth="1"/>
    <col min="12" max="12" width="19.44140625" style="74" customWidth="1"/>
    <col min="13" max="13" width="16.21875" style="74" customWidth="1"/>
    <col min="14" max="14" width="13.5546875" style="74" customWidth="1"/>
    <col min="15" max="15" width="12.77734375" style="74" bestFit="1" customWidth="1"/>
    <col min="16" max="17" width="16.33203125" style="74" customWidth="1"/>
    <col min="18" max="18" width="16.44140625" style="77" customWidth="1"/>
    <col min="19" max="19" width="15.44140625" style="74" customWidth="1"/>
    <col min="20" max="20" width="17.21875" style="74" customWidth="1"/>
    <col min="21" max="22" width="18" style="74" customWidth="1"/>
    <col min="23" max="23" width="25" style="74" customWidth="1"/>
    <col min="24" max="24" width="17.44140625" style="74" bestFit="1" customWidth="1"/>
    <col min="25" max="25" width="15.6640625" style="74" bestFit="1" customWidth="1"/>
    <col min="26" max="26" width="11.88671875" style="74" bestFit="1" customWidth="1"/>
    <col min="27" max="16384" width="9" style="74"/>
  </cols>
  <sheetData>
    <row r="1" spans="1:26" s="60" customFormat="1" ht="20.399999999999999" x14ac:dyDescent="0.3">
      <c r="F1" s="63"/>
      <c r="G1" s="63"/>
      <c r="H1" s="62"/>
      <c r="I1" s="122" t="s">
        <v>79</v>
      </c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</row>
    <row r="2" spans="1:26" s="60" customFormat="1" ht="15.6" x14ac:dyDescent="0.3">
      <c r="B2" s="64"/>
      <c r="C2" s="64"/>
      <c r="D2" s="64"/>
      <c r="E2" s="128"/>
      <c r="F2" s="65"/>
      <c r="G2" s="65"/>
      <c r="H2" s="61"/>
      <c r="I2" s="123" t="s">
        <v>80</v>
      </c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</row>
    <row r="3" spans="1:26" s="60" customFormat="1" ht="15.6" x14ac:dyDescent="0.3">
      <c r="B3" s="64"/>
      <c r="C3" s="64"/>
      <c r="D3" s="64"/>
      <c r="E3" s="65" t="s">
        <v>91</v>
      </c>
      <c r="G3" s="65"/>
      <c r="H3" s="61">
        <v>22</v>
      </c>
      <c r="I3" s="91"/>
      <c r="J3" s="91"/>
      <c r="K3" s="91"/>
      <c r="L3" s="91"/>
      <c r="M3" s="91"/>
      <c r="N3" s="91">
        <v>4400000</v>
      </c>
      <c r="O3" s="91"/>
      <c r="P3" s="91"/>
      <c r="Q3" s="91"/>
      <c r="R3" s="91"/>
      <c r="S3" s="140">
        <v>0.215</v>
      </c>
      <c r="T3" s="140">
        <v>0.105</v>
      </c>
      <c r="U3" s="88"/>
      <c r="V3" s="88"/>
    </row>
    <row r="4" spans="1:26" s="66" customFormat="1" ht="67.05" customHeight="1" x14ac:dyDescent="0.3">
      <c r="A4" s="114" t="s">
        <v>86</v>
      </c>
      <c r="B4" s="114" t="s">
        <v>87</v>
      </c>
      <c r="C4" s="114" t="s">
        <v>88</v>
      </c>
      <c r="D4" s="114" t="s">
        <v>89</v>
      </c>
      <c r="E4" s="114" t="s">
        <v>90</v>
      </c>
      <c r="F4" s="114" t="s">
        <v>92</v>
      </c>
      <c r="G4" s="114" t="s">
        <v>93</v>
      </c>
      <c r="H4" s="115" t="s">
        <v>94</v>
      </c>
      <c r="I4" s="116" t="s">
        <v>95</v>
      </c>
      <c r="J4" s="116" t="s">
        <v>96</v>
      </c>
      <c r="K4" s="116" t="s">
        <v>97</v>
      </c>
      <c r="L4" s="116" t="s">
        <v>98</v>
      </c>
      <c r="M4" s="116" t="s">
        <v>99</v>
      </c>
      <c r="N4" s="116" t="s">
        <v>100</v>
      </c>
      <c r="O4" s="116" t="s">
        <v>101</v>
      </c>
      <c r="P4" s="116" t="s">
        <v>102</v>
      </c>
      <c r="Q4" s="116" t="s">
        <v>103</v>
      </c>
      <c r="R4" s="117" t="s">
        <v>104</v>
      </c>
      <c r="S4" s="116" t="s">
        <v>107</v>
      </c>
      <c r="T4" s="116" t="s">
        <v>108</v>
      </c>
      <c r="U4" s="116" t="s">
        <v>105</v>
      </c>
      <c r="V4" s="116" t="s">
        <v>13</v>
      </c>
      <c r="W4" s="113" t="s">
        <v>106</v>
      </c>
      <c r="Y4" s="66" t="s">
        <v>115</v>
      </c>
    </row>
    <row r="5" spans="1:26" s="60" customFormat="1" ht="15.6" x14ac:dyDescent="0.3">
      <c r="A5" s="67">
        <v>1</v>
      </c>
      <c r="B5" s="68" t="s">
        <v>69</v>
      </c>
      <c r="C5" s="127" t="s">
        <v>83</v>
      </c>
      <c r="D5" s="127" t="s">
        <v>84</v>
      </c>
      <c r="E5" s="67">
        <v>1</v>
      </c>
      <c r="F5" s="69">
        <v>5000000</v>
      </c>
      <c r="G5" s="69"/>
      <c r="H5" s="90">
        <v>22</v>
      </c>
      <c r="I5" s="70">
        <f t="shared" ref="I5:I9" si="0">ROUND(F5*E5/$H$3*H5,0)</f>
        <v>5000000</v>
      </c>
      <c r="J5" s="70">
        <v>0</v>
      </c>
      <c r="K5" s="70">
        <v>0</v>
      </c>
      <c r="L5" s="70">
        <f>SUM(I5:K5)</f>
        <v>5000000</v>
      </c>
      <c r="M5" s="70"/>
      <c r="N5" s="112"/>
      <c r="O5" s="112">
        <f>M5+$N$3*N5</f>
        <v>0</v>
      </c>
      <c r="P5" s="112">
        <f>IF(L5-O5&gt;0,L5-O5,0)</f>
        <v>5000000</v>
      </c>
      <c r="Q5" s="112">
        <f>IF(P5&gt;0,IF(P5&lt;=4750000,(P5/0.95),IF(P5&lt;=9250000,(P5-250000)/0.9,IF(P5&lt;=16050000,(P5-750000)/0.85,IF(P5&lt;=27250000,(P5-1650000)/0.8,IF(P5&lt;=42250000,(P5-3250000)/0.75,IF(P5&lt;=61850000,(P5-5850000)/0.7,IF(P5&gt;61850000,(P5-9850000)/0.65,0))))))),0)</f>
        <v>5277777.777777778</v>
      </c>
      <c r="R5" s="71">
        <f>IF(Q5&gt;80000000,Q5*35%-9850000,IF(Q5&gt;52000000,Q5*30%-5850000,IF(Q5&gt;32000000,Q5*25%-3250000,IF(Q5&gt;18000000,Q5*20%-1650000,IF(Q5&gt;10000000,Q5*15%-750000,IF(Q5&gt;5000000,Q5*10%-250000,IF(AND(Q5&lt;=5000000,Q5&gt;0),Q5*5%,0)))))))</f>
        <v>277777.77777777787</v>
      </c>
      <c r="S5" s="70">
        <f>ROUND(G5*$S$3,0)</f>
        <v>0</v>
      </c>
      <c r="T5" s="70">
        <f>ROUND(G5*$T$3,0)</f>
        <v>0</v>
      </c>
      <c r="U5" s="70">
        <f>I5</f>
        <v>5000000</v>
      </c>
      <c r="V5" s="70">
        <f>L5+R5+T5</f>
        <v>5277777.777777778</v>
      </c>
      <c r="W5" s="124"/>
      <c r="X5" s="72">
        <f>IF(Q5&gt;0,Q5+O5+T5,L5+T5)</f>
        <v>5277777.777777778</v>
      </c>
      <c r="Y5" s="170">
        <f>X5-V5</f>
        <v>0</v>
      </c>
    </row>
    <row r="6" spans="1:26" s="60" customFormat="1" ht="15.6" x14ac:dyDescent="0.3">
      <c r="A6" s="67">
        <v>2</v>
      </c>
      <c r="B6" s="68" t="s">
        <v>71</v>
      </c>
      <c r="C6" s="127" t="s">
        <v>83</v>
      </c>
      <c r="D6" s="127" t="s">
        <v>84</v>
      </c>
      <c r="E6" s="67">
        <v>1</v>
      </c>
      <c r="F6" s="69">
        <v>20000000</v>
      </c>
      <c r="G6" s="69">
        <v>20000000</v>
      </c>
      <c r="H6" s="90">
        <v>22</v>
      </c>
      <c r="I6" s="70">
        <f t="shared" si="0"/>
        <v>20000000</v>
      </c>
      <c r="J6" s="70">
        <v>0</v>
      </c>
      <c r="K6" s="70">
        <v>0</v>
      </c>
      <c r="L6" s="70">
        <f t="shared" ref="L6:L15" si="1">SUM(I6:K6)</f>
        <v>20000000</v>
      </c>
      <c r="M6" s="70">
        <v>11000000</v>
      </c>
      <c r="N6" s="112">
        <v>1</v>
      </c>
      <c r="O6" s="112">
        <f t="shared" ref="O6:O15" si="2">M6+$N$3*N6</f>
        <v>15400000</v>
      </c>
      <c r="P6" s="112">
        <f>IF(L6-O6&gt;0,L6-O6,0)</f>
        <v>4600000</v>
      </c>
      <c r="Q6" s="112">
        <f>IF(P6&gt;0,IF(P6&lt;=4750000,(P6/0.95),IF(P6&lt;=9250000,(P6-250000)/0.9,IF(P6&lt;=16050000,(P6-750000)/0.85,IF(P6&lt;=27250000,(P6-1650000)/0.8,IF(P6&lt;=42250000,(P6-3250000)/0.75,IF(P6&lt;=61850000,(P6-5850000)/0.7,IF(P6&gt;61850000,(P6-9850000)/0.65,0))))))),0)</f>
        <v>4842105.2631578948</v>
      </c>
      <c r="R6" s="71">
        <f t="shared" ref="R6:R10" si="3">IF(Q6&gt;80000000,Q6*35%-9850000,IF(Q6&gt;52000000,Q6*30%-5850000,IF(Q6&gt;32000000,Q6*25%-3250000,IF(Q6&gt;18000000,Q6*20%-1650000,IF(Q6&gt;10000000,Q6*15%-750000,IF(Q6&gt;5000000,Q6*10%-250000,IF(AND(Q6&lt;=5000000,Q6&gt;0),Q6*5%,0)))))))</f>
        <v>242105.26315789475</v>
      </c>
      <c r="S6" s="70">
        <f>ROUND(G6*$S$3,0)</f>
        <v>4300000</v>
      </c>
      <c r="T6" s="70">
        <f>ROUND(G6*$T$3,0)</f>
        <v>2100000</v>
      </c>
      <c r="U6" s="70">
        <f t="shared" ref="U6:U15" si="4">I6</f>
        <v>20000000</v>
      </c>
      <c r="V6" s="70">
        <f>L6+R6+T6</f>
        <v>22342105.263157893</v>
      </c>
      <c r="W6" s="125"/>
      <c r="X6" s="72">
        <f t="shared" ref="X6:X10" si="5">IF(Q6&gt;0,Q6+O6+T6,L6+T6)</f>
        <v>22342105.263157897</v>
      </c>
      <c r="Y6" s="170">
        <f>X6-V6</f>
        <v>0</v>
      </c>
      <c r="Z6" s="171"/>
    </row>
    <row r="7" spans="1:26" s="60" customFormat="1" ht="15.6" x14ac:dyDescent="0.3">
      <c r="A7" s="67">
        <v>3</v>
      </c>
      <c r="B7" s="68" t="s">
        <v>73</v>
      </c>
      <c r="C7" s="127" t="s">
        <v>83</v>
      </c>
      <c r="D7" s="127" t="s">
        <v>84</v>
      </c>
      <c r="E7" s="67">
        <v>1</v>
      </c>
      <c r="F7" s="69">
        <v>10000000</v>
      </c>
      <c r="G7" s="69">
        <v>10000000</v>
      </c>
      <c r="H7" s="90">
        <v>22</v>
      </c>
      <c r="I7" s="70">
        <f t="shared" si="0"/>
        <v>10000000</v>
      </c>
      <c r="J7" s="70">
        <v>0</v>
      </c>
      <c r="K7" s="70">
        <v>0</v>
      </c>
      <c r="L7" s="70">
        <f t="shared" si="1"/>
        <v>10000000</v>
      </c>
      <c r="M7" s="70">
        <v>11000000</v>
      </c>
      <c r="N7" s="112"/>
      <c r="O7" s="112">
        <f t="shared" si="2"/>
        <v>11000000</v>
      </c>
      <c r="P7" s="112">
        <f>IF(L7-O7&gt;0,L7-O7,0)</f>
        <v>0</v>
      </c>
      <c r="Q7" s="112">
        <f t="shared" ref="Q6:Q10" si="6">IF(P7&gt;0,IF(P7&lt;=4750000,(P7/0.95),IF(P7&lt;=9250000,(P7-250000)/0.9,IF(P7&lt;=16050000,(P7-750000)/0.85,IF(P7&lt;=27250000,(P7-1650000)/0.8,IF(P7&lt;=42250000,(P7-3250000)/0.75,IF(P7&lt;=61850000,(P7-5850000)/0.7,IF(P7&gt;61850000,(P7-9850000)/0.65,0))))))),0)</f>
        <v>0</v>
      </c>
      <c r="R7" s="71">
        <f t="shared" si="3"/>
        <v>0</v>
      </c>
      <c r="S7" s="70">
        <f>ROUND(G7*$S$3,0)</f>
        <v>2150000</v>
      </c>
      <c r="T7" s="70">
        <f>ROUND(G7*$T$3,0)</f>
        <v>1050000</v>
      </c>
      <c r="U7" s="70">
        <f t="shared" si="4"/>
        <v>10000000</v>
      </c>
      <c r="V7" s="70">
        <f>L7+R7+T7</f>
        <v>11050000</v>
      </c>
      <c r="W7" s="125"/>
      <c r="X7" s="72">
        <f t="shared" si="5"/>
        <v>11050000</v>
      </c>
      <c r="Y7" s="170">
        <f t="shared" ref="Y7:Y10" si="7">X7-V7</f>
        <v>0</v>
      </c>
    </row>
    <row r="8" spans="1:26" s="60" customFormat="1" ht="15.6" x14ac:dyDescent="0.3">
      <c r="A8" s="67">
        <v>4</v>
      </c>
      <c r="B8" s="68" t="s">
        <v>74</v>
      </c>
      <c r="C8" s="127" t="s">
        <v>83</v>
      </c>
      <c r="D8" s="127" t="s">
        <v>116</v>
      </c>
      <c r="E8" s="67">
        <v>1</v>
      </c>
      <c r="F8" s="69">
        <v>12000000</v>
      </c>
      <c r="G8" s="69"/>
      <c r="H8" s="90">
        <v>22</v>
      </c>
      <c r="I8" s="70">
        <f t="shared" si="0"/>
        <v>12000000</v>
      </c>
      <c r="J8" s="70">
        <v>0</v>
      </c>
      <c r="K8" s="70">
        <v>0</v>
      </c>
      <c r="L8" s="70">
        <f t="shared" si="1"/>
        <v>12000000</v>
      </c>
      <c r="M8" s="70"/>
      <c r="N8" s="112"/>
      <c r="O8" s="112">
        <f t="shared" si="2"/>
        <v>0</v>
      </c>
      <c r="P8" s="112">
        <f>IF(L8-O8&gt;0,L8-O8,0)</f>
        <v>12000000</v>
      </c>
      <c r="Q8" s="112">
        <f>P8</f>
        <v>12000000</v>
      </c>
      <c r="R8" s="71">
        <f>IF(Q8&gt;80000000,Q8*35%-9850000,IF(Q8&gt;52000000,Q8*30%-5850000,IF(Q8&gt;32000000,Q8*25%-3250000,IF(Q8&gt;18000000,Q8*20%-1650000,IF(Q8&gt;10000000,Q8*15%-750000,IF(Q8&gt;5000000,Q8*10%-250000,IF(AND(Q8&lt;=5000000,Q8&gt;0),Q8*5%,0)))))))</f>
        <v>1050000</v>
      </c>
      <c r="S8" s="70">
        <f>ROUND(G8*$S$3,0)</f>
        <v>0</v>
      </c>
      <c r="T8" s="70">
        <f t="shared" ref="T7:T15" si="8">ROUND(G8*$T$3,0)</f>
        <v>0</v>
      </c>
      <c r="U8" s="70">
        <f>I8-R8</f>
        <v>10950000</v>
      </c>
      <c r="V8" s="70">
        <f>Q8</f>
        <v>12000000</v>
      </c>
      <c r="W8" s="125"/>
      <c r="X8" s="72">
        <f t="shared" si="5"/>
        <v>12000000</v>
      </c>
      <c r="Y8" s="170">
        <f t="shared" si="7"/>
        <v>0</v>
      </c>
    </row>
    <row r="9" spans="1:26" s="60" customFormat="1" ht="15.6" x14ac:dyDescent="0.3">
      <c r="A9" s="67">
        <v>5</v>
      </c>
      <c r="B9" s="68" t="s">
        <v>75</v>
      </c>
      <c r="C9" s="127" t="s">
        <v>83</v>
      </c>
      <c r="D9" s="127" t="s">
        <v>84</v>
      </c>
      <c r="E9" s="67">
        <v>0.85</v>
      </c>
      <c r="F9" s="69">
        <v>8000000</v>
      </c>
      <c r="G9" s="69"/>
      <c r="H9" s="90">
        <v>22</v>
      </c>
      <c r="I9" s="70">
        <f t="shared" si="0"/>
        <v>6800000</v>
      </c>
      <c r="J9" s="70">
        <v>0</v>
      </c>
      <c r="K9" s="70">
        <v>0</v>
      </c>
      <c r="L9" s="70">
        <f t="shared" si="1"/>
        <v>6800000</v>
      </c>
      <c r="M9" s="70">
        <v>11000000</v>
      </c>
      <c r="N9" s="112"/>
      <c r="O9" s="112">
        <f t="shared" si="2"/>
        <v>11000000</v>
      </c>
      <c r="P9" s="112">
        <f t="shared" ref="P9:P15" si="9">IF(L9-O9&gt;0,L9-O9,0)</f>
        <v>0</v>
      </c>
      <c r="Q9" s="112">
        <f t="shared" si="6"/>
        <v>0</v>
      </c>
      <c r="R9" s="71">
        <f t="shared" si="3"/>
        <v>0</v>
      </c>
      <c r="S9" s="70">
        <f t="shared" ref="S9:S15" si="10">ROUND(G9*$S$3,0)</f>
        <v>0</v>
      </c>
      <c r="T9" s="70">
        <f>ROUND(G9*$T$3,0)</f>
        <v>0</v>
      </c>
      <c r="U9" s="70">
        <f t="shared" si="4"/>
        <v>6800000</v>
      </c>
      <c r="V9" s="70">
        <f t="shared" ref="V9:V10" si="11">L9+R9+T9</f>
        <v>6800000</v>
      </c>
      <c r="W9" s="125">
        <v>8761030932</v>
      </c>
      <c r="X9" s="72">
        <f t="shared" si="5"/>
        <v>6800000</v>
      </c>
      <c r="Y9" s="170">
        <f t="shared" si="7"/>
        <v>0</v>
      </c>
    </row>
    <row r="10" spans="1:26" s="60" customFormat="1" ht="15.6" x14ac:dyDescent="0.3">
      <c r="A10" s="67">
        <v>6</v>
      </c>
      <c r="B10" s="68" t="s">
        <v>81</v>
      </c>
      <c r="C10" s="127" t="s">
        <v>83</v>
      </c>
      <c r="D10" s="127" t="s">
        <v>84</v>
      </c>
      <c r="E10" s="67">
        <v>0.85</v>
      </c>
      <c r="F10" s="69">
        <v>10000000</v>
      </c>
      <c r="G10" s="69"/>
      <c r="H10" s="90">
        <v>20</v>
      </c>
      <c r="I10" s="70">
        <f>ROUND(F10*E10/$H$3*H10,0)</f>
        <v>7727273</v>
      </c>
      <c r="J10" s="70">
        <v>0</v>
      </c>
      <c r="K10" s="70">
        <v>0</v>
      </c>
      <c r="L10" s="70">
        <f t="shared" si="1"/>
        <v>7727273</v>
      </c>
      <c r="M10" s="70">
        <v>11000000</v>
      </c>
      <c r="N10" s="112"/>
      <c r="O10" s="112">
        <f t="shared" si="2"/>
        <v>11000000</v>
      </c>
      <c r="P10" s="112">
        <f t="shared" si="9"/>
        <v>0</v>
      </c>
      <c r="Q10" s="112">
        <f t="shared" si="6"/>
        <v>0</v>
      </c>
      <c r="R10" s="71">
        <f t="shared" si="3"/>
        <v>0</v>
      </c>
      <c r="S10" s="70">
        <f t="shared" si="10"/>
        <v>0</v>
      </c>
      <c r="T10" s="70">
        <f t="shared" si="8"/>
        <v>0</v>
      </c>
      <c r="U10" s="70">
        <f t="shared" si="4"/>
        <v>7727273</v>
      </c>
      <c r="V10" s="70">
        <f t="shared" si="11"/>
        <v>7727273</v>
      </c>
      <c r="W10" s="125">
        <v>8599443547</v>
      </c>
      <c r="X10" s="72">
        <f t="shared" si="5"/>
        <v>7727273</v>
      </c>
      <c r="Y10" s="170">
        <f t="shared" si="7"/>
        <v>0</v>
      </c>
    </row>
    <row r="11" spans="1:26" s="60" customFormat="1" ht="15.6" x14ac:dyDescent="0.3">
      <c r="B11" s="132"/>
      <c r="C11" s="133"/>
      <c r="D11" s="133"/>
      <c r="F11" s="134"/>
      <c r="G11" s="134"/>
      <c r="H11" s="135"/>
      <c r="I11" s="172">
        <f>SUM(I5:I10)</f>
        <v>61527273</v>
      </c>
      <c r="J11" s="136"/>
      <c r="K11" s="136"/>
      <c r="L11" s="136"/>
      <c r="M11" s="136"/>
      <c r="N11" s="137"/>
      <c r="O11" s="137"/>
      <c r="P11" s="137"/>
      <c r="Q11" s="137"/>
      <c r="R11" s="138"/>
      <c r="S11" s="136"/>
      <c r="T11" s="136"/>
      <c r="U11" s="172"/>
      <c r="V11" s="136"/>
      <c r="W11" s="139"/>
    </row>
    <row r="12" spans="1:26" s="60" customFormat="1" ht="15.6" x14ac:dyDescent="0.3">
      <c r="A12" s="67">
        <v>7</v>
      </c>
      <c r="B12" s="68" t="s">
        <v>70</v>
      </c>
      <c r="C12" s="126" t="s">
        <v>82</v>
      </c>
      <c r="D12" s="127" t="s">
        <v>84</v>
      </c>
      <c r="E12" s="67">
        <v>1</v>
      </c>
      <c r="F12" s="69">
        <v>10000000</v>
      </c>
      <c r="G12" s="69"/>
      <c r="H12" s="90">
        <v>22</v>
      </c>
      <c r="I12" s="70">
        <f>ROUND(F12*E12/$H$3*H12,0)</f>
        <v>10000000</v>
      </c>
      <c r="J12" s="70">
        <v>0</v>
      </c>
      <c r="K12" s="70">
        <v>0</v>
      </c>
      <c r="L12" s="70">
        <f t="shared" si="1"/>
        <v>10000000</v>
      </c>
      <c r="M12" s="70"/>
      <c r="N12" s="112"/>
      <c r="O12" s="112">
        <f t="shared" si="2"/>
        <v>0</v>
      </c>
      <c r="P12" s="112">
        <f t="shared" si="9"/>
        <v>10000000</v>
      </c>
      <c r="Q12" s="112">
        <f>ROUND(P12/0.9,0)</f>
        <v>11111111</v>
      </c>
      <c r="R12" s="71">
        <f>ROUND(Q12*0.1,0)</f>
        <v>1111111</v>
      </c>
      <c r="S12" s="70">
        <f t="shared" si="10"/>
        <v>0</v>
      </c>
      <c r="T12" s="70">
        <f t="shared" si="8"/>
        <v>0</v>
      </c>
      <c r="U12" s="70">
        <f t="shared" si="4"/>
        <v>10000000</v>
      </c>
      <c r="V12" s="70"/>
      <c r="W12" s="125"/>
    </row>
    <row r="13" spans="1:26" s="60" customFormat="1" ht="15.6" x14ac:dyDescent="0.3">
      <c r="A13" s="67">
        <v>8</v>
      </c>
      <c r="B13" s="68" t="s">
        <v>72</v>
      </c>
      <c r="C13" s="126" t="s">
        <v>82</v>
      </c>
      <c r="D13" s="127" t="s">
        <v>84</v>
      </c>
      <c r="E13" s="67">
        <v>1</v>
      </c>
      <c r="F13" s="69">
        <v>3000000</v>
      </c>
      <c r="G13" s="69"/>
      <c r="H13" s="90">
        <v>22</v>
      </c>
      <c r="I13" s="70">
        <f>ROUND(F13*E13/$H$3*H13,0)</f>
        <v>3000000</v>
      </c>
      <c r="J13" s="70">
        <v>0</v>
      </c>
      <c r="K13" s="70">
        <v>0</v>
      </c>
      <c r="L13" s="70">
        <f t="shared" si="1"/>
        <v>3000000</v>
      </c>
      <c r="M13" s="70"/>
      <c r="N13" s="112"/>
      <c r="O13" s="112">
        <f t="shared" si="2"/>
        <v>0</v>
      </c>
      <c r="P13" s="112">
        <f t="shared" si="9"/>
        <v>3000000</v>
      </c>
      <c r="Q13" s="112">
        <f t="shared" ref="Q13:Q15" si="12">ROUND(P13/0.9,0)</f>
        <v>3333333</v>
      </c>
      <c r="R13" s="71">
        <f t="shared" ref="R13:R15" si="13">ROUND(Q13*0.1,0)</f>
        <v>333333</v>
      </c>
      <c r="S13" s="70">
        <f t="shared" si="10"/>
        <v>0</v>
      </c>
      <c r="T13" s="70">
        <f t="shared" si="8"/>
        <v>0</v>
      </c>
      <c r="U13" s="70">
        <f t="shared" si="4"/>
        <v>3000000</v>
      </c>
      <c r="V13" s="70"/>
      <c r="W13" s="125"/>
    </row>
    <row r="14" spans="1:26" s="60" customFormat="1" ht="15.6" x14ac:dyDescent="0.3">
      <c r="A14" s="67">
        <v>9</v>
      </c>
      <c r="B14" s="68" t="s">
        <v>77</v>
      </c>
      <c r="C14" s="127" t="s">
        <v>82</v>
      </c>
      <c r="D14" s="127" t="s">
        <v>84</v>
      </c>
      <c r="E14" s="67">
        <v>1</v>
      </c>
      <c r="F14" s="69">
        <v>10000000</v>
      </c>
      <c r="G14" s="69"/>
      <c r="H14" s="90">
        <v>22</v>
      </c>
      <c r="I14" s="70">
        <f>ROUND(F14*E14/$H$3*H14,0)</f>
        <v>10000000</v>
      </c>
      <c r="J14" s="70">
        <v>0</v>
      </c>
      <c r="K14" s="70">
        <v>0</v>
      </c>
      <c r="L14" s="70">
        <f t="shared" si="1"/>
        <v>10000000</v>
      </c>
      <c r="M14" s="70"/>
      <c r="N14" s="112"/>
      <c r="O14" s="112">
        <f t="shared" si="2"/>
        <v>0</v>
      </c>
      <c r="P14" s="112">
        <f t="shared" si="9"/>
        <v>10000000</v>
      </c>
      <c r="Q14" s="112">
        <f t="shared" si="12"/>
        <v>11111111</v>
      </c>
      <c r="R14" s="71">
        <f t="shared" si="13"/>
        <v>1111111</v>
      </c>
      <c r="S14" s="70">
        <f t="shared" si="10"/>
        <v>0</v>
      </c>
      <c r="T14" s="70">
        <f t="shared" si="8"/>
        <v>0</v>
      </c>
      <c r="U14" s="70">
        <f t="shared" si="4"/>
        <v>10000000</v>
      </c>
      <c r="W14" s="125"/>
    </row>
    <row r="15" spans="1:26" s="60" customFormat="1" ht="15.6" x14ac:dyDescent="0.3">
      <c r="A15" s="67">
        <v>10</v>
      </c>
      <c r="B15" s="63" t="s">
        <v>76</v>
      </c>
      <c r="C15" s="126" t="s">
        <v>82</v>
      </c>
      <c r="D15" s="127" t="s">
        <v>84</v>
      </c>
      <c r="E15" s="67">
        <v>1</v>
      </c>
      <c r="F15" s="69">
        <v>3000000</v>
      </c>
      <c r="G15" s="69"/>
      <c r="H15" s="90">
        <v>22</v>
      </c>
      <c r="I15" s="70">
        <f>ROUND(F15*E15/$H$3*H15,0)</f>
        <v>3000000</v>
      </c>
      <c r="J15" s="70">
        <v>0</v>
      </c>
      <c r="K15" s="70">
        <v>0</v>
      </c>
      <c r="L15" s="70">
        <f t="shared" si="1"/>
        <v>3000000</v>
      </c>
      <c r="M15" s="70"/>
      <c r="N15" s="112"/>
      <c r="O15" s="112">
        <f t="shared" si="2"/>
        <v>0</v>
      </c>
      <c r="P15" s="112">
        <f t="shared" si="9"/>
        <v>3000000</v>
      </c>
      <c r="Q15" s="112">
        <f t="shared" si="12"/>
        <v>3333333</v>
      </c>
      <c r="R15" s="71">
        <f t="shared" si="13"/>
        <v>333333</v>
      </c>
      <c r="S15" s="70">
        <f t="shared" si="10"/>
        <v>0</v>
      </c>
      <c r="T15" s="70">
        <f t="shared" si="8"/>
        <v>0</v>
      </c>
      <c r="U15" s="70">
        <f t="shared" si="4"/>
        <v>3000000</v>
      </c>
      <c r="V15" s="70"/>
      <c r="W15" s="125" t="s">
        <v>85</v>
      </c>
    </row>
    <row r="16" spans="1:26" s="60" customFormat="1" ht="15.6" x14ac:dyDescent="0.3">
      <c r="A16" s="67"/>
      <c r="B16" s="68"/>
      <c r="C16" s="68"/>
      <c r="D16" s="68"/>
      <c r="E16" s="129"/>
      <c r="F16" s="69"/>
      <c r="G16" s="69"/>
      <c r="H16" s="90"/>
      <c r="I16" s="70"/>
      <c r="J16" s="70"/>
      <c r="K16" s="70"/>
      <c r="L16" s="70"/>
      <c r="M16" s="70"/>
      <c r="N16" s="112"/>
      <c r="O16" s="112"/>
      <c r="P16" s="112"/>
      <c r="Q16" s="112"/>
      <c r="R16" s="71"/>
      <c r="S16" s="70"/>
      <c r="T16" s="70"/>
      <c r="U16" s="70"/>
      <c r="V16" s="70"/>
      <c r="W16" s="92"/>
    </row>
    <row r="17" spans="1:23" s="73" customFormat="1" ht="15.6" x14ac:dyDescent="0.3">
      <c r="A17" s="121" t="s">
        <v>110</v>
      </c>
      <c r="B17" s="121"/>
      <c r="C17" s="121"/>
      <c r="D17" s="121"/>
      <c r="E17" s="120"/>
      <c r="F17" s="118">
        <f>SUM(F5:F16)</f>
        <v>91000000</v>
      </c>
      <c r="G17" s="118"/>
      <c r="H17" s="118">
        <f>SUM(H5:H16)</f>
        <v>218</v>
      </c>
      <c r="I17" s="118">
        <f>SUM(I5:I16)</f>
        <v>149054546</v>
      </c>
      <c r="J17" s="118">
        <f>SUM(J5:J16)</f>
        <v>0</v>
      </c>
      <c r="K17" s="118">
        <f>SUM(K5:K16)</f>
        <v>0</v>
      </c>
      <c r="L17" s="118">
        <f>SUM(L5:L16)</f>
        <v>87527273</v>
      </c>
      <c r="M17" s="118"/>
      <c r="N17" s="118"/>
      <c r="O17" s="118"/>
      <c r="P17" s="118"/>
      <c r="Q17" s="118"/>
      <c r="R17" s="118">
        <f>SUM(R5:R16)</f>
        <v>4458771.0409356728</v>
      </c>
      <c r="S17" s="118">
        <f>SUM(S5:S16)</f>
        <v>6450000</v>
      </c>
      <c r="T17" s="118">
        <f>SUM(T5:T16)</f>
        <v>3150000</v>
      </c>
      <c r="U17" s="118">
        <f>SUM(U5:U16)</f>
        <v>86477273</v>
      </c>
      <c r="V17" s="118"/>
      <c r="W17" s="119"/>
    </row>
    <row r="18" spans="1:23" s="73" customFormat="1" ht="15.6" x14ac:dyDescent="0.3">
      <c r="A18" s="141"/>
      <c r="B18" s="141"/>
      <c r="C18" s="141"/>
      <c r="D18" s="141"/>
      <c r="E18" s="142"/>
      <c r="F18" s="143"/>
      <c r="G18" s="143"/>
      <c r="H18" s="143"/>
      <c r="I18" s="143"/>
      <c r="J18" s="143"/>
      <c r="K18" s="144"/>
      <c r="L18" s="144"/>
      <c r="M18" s="143"/>
      <c r="N18" s="143"/>
      <c r="O18" s="143"/>
      <c r="P18" s="143"/>
      <c r="Q18" s="143"/>
      <c r="R18" s="143"/>
      <c r="S18" s="143"/>
      <c r="T18" s="143"/>
      <c r="U18" s="143"/>
      <c r="V18" s="143"/>
      <c r="W18" s="145"/>
    </row>
    <row r="19" spans="1:23" s="79" customFormat="1" ht="16.8" x14ac:dyDescent="0.3">
      <c r="E19" s="130"/>
      <c r="F19" s="94"/>
      <c r="G19" s="94"/>
      <c r="I19" s="80"/>
      <c r="K19" s="79" t="s">
        <v>109</v>
      </c>
      <c r="R19" s="81"/>
      <c r="T19" s="93"/>
    </row>
    <row r="20" spans="1:23" s="82" customFormat="1" ht="16.8" x14ac:dyDescent="0.3">
      <c r="B20" s="83" t="s">
        <v>112</v>
      </c>
      <c r="C20" s="83"/>
      <c r="D20" s="83"/>
      <c r="E20" s="83"/>
      <c r="F20" s="84"/>
      <c r="G20" s="84"/>
      <c r="H20" s="84"/>
      <c r="I20" s="85"/>
      <c r="J20" s="84"/>
      <c r="K20" s="84" t="s">
        <v>111</v>
      </c>
      <c r="L20" s="84"/>
      <c r="M20" s="86"/>
      <c r="R20" s="87"/>
    </row>
    <row r="21" spans="1:23" x14ac:dyDescent="0.25">
      <c r="J21" s="111"/>
      <c r="K21" s="111"/>
      <c r="L21" s="76"/>
      <c r="M21" s="75"/>
    </row>
    <row r="22" spans="1:23" x14ac:dyDescent="0.25">
      <c r="L22" s="76"/>
      <c r="M22" s="78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4"/>
  <sheetViews>
    <sheetView zoomScale="85" zoomScaleNormal="85" workbookViewId="0">
      <selection activeCell="R11" sqref="R11"/>
    </sheetView>
  </sheetViews>
  <sheetFormatPr defaultColWidth="8.77734375" defaultRowHeight="13.8" x14ac:dyDescent="0.25"/>
  <cols>
    <col min="1" max="1" width="5.109375" style="95" bestFit="1" customWidth="1"/>
    <col min="2" max="2" width="16.88671875" style="95" bestFit="1" customWidth="1"/>
    <col min="3" max="3" width="15" style="95" bestFit="1" customWidth="1"/>
    <col min="4" max="4" width="13.88671875" style="95" bestFit="1" customWidth="1"/>
    <col min="5" max="6" width="12" style="95" bestFit="1" customWidth="1"/>
    <col min="7" max="8" width="13.88671875" style="95" bestFit="1" customWidth="1"/>
    <col min="9" max="10" width="12" style="95" bestFit="1" customWidth="1"/>
    <col min="11" max="12" width="13.88671875" style="95" bestFit="1" customWidth="1"/>
    <col min="13" max="13" width="10.77734375" style="95" bestFit="1" customWidth="1"/>
    <col min="14" max="16384" width="8.77734375" style="95"/>
  </cols>
  <sheetData>
    <row r="1" spans="1:13" ht="20.399999999999999" x14ac:dyDescent="0.35">
      <c r="C1" s="184" t="s">
        <v>54</v>
      </c>
      <c r="D1" s="184"/>
      <c r="E1" s="184"/>
      <c r="F1" s="184"/>
      <c r="G1" s="184"/>
      <c r="H1" s="184"/>
      <c r="I1" s="184"/>
      <c r="J1" s="184"/>
      <c r="K1" s="184"/>
      <c r="L1" s="184"/>
    </row>
    <row r="2" spans="1:13" x14ac:dyDescent="0.25">
      <c r="F2" s="189" t="s">
        <v>78</v>
      </c>
      <c r="G2" s="189"/>
      <c r="H2" s="189"/>
    </row>
    <row r="3" spans="1:13" x14ac:dyDescent="0.25">
      <c r="F3" s="190"/>
      <c r="G3" s="190"/>
      <c r="H3" s="190"/>
    </row>
    <row r="4" spans="1:13" s="98" customFormat="1" ht="32.549999999999997" customHeight="1" x14ac:dyDescent="0.3">
      <c r="A4" s="179" t="s">
        <v>57</v>
      </c>
      <c r="B4" s="187" t="s">
        <v>59</v>
      </c>
      <c r="C4" s="187" t="s">
        <v>58</v>
      </c>
      <c r="D4" s="191" t="s">
        <v>60</v>
      </c>
      <c r="E4" s="192"/>
      <c r="F4" s="192"/>
      <c r="G4" s="193"/>
      <c r="H4" s="194" t="s">
        <v>61</v>
      </c>
      <c r="I4" s="195"/>
      <c r="J4" s="195"/>
      <c r="K4" s="196"/>
      <c r="L4" s="182" t="s">
        <v>67</v>
      </c>
      <c r="M4" s="186" t="s">
        <v>56</v>
      </c>
    </row>
    <row r="5" spans="1:13" s="97" customFormat="1" ht="31.2" x14ac:dyDescent="0.3">
      <c r="A5" s="179"/>
      <c r="B5" s="188"/>
      <c r="C5" s="188"/>
      <c r="D5" s="116" t="s">
        <v>62</v>
      </c>
      <c r="E5" s="116" t="s">
        <v>63</v>
      </c>
      <c r="F5" s="116" t="s">
        <v>64</v>
      </c>
      <c r="G5" s="116" t="s">
        <v>68</v>
      </c>
      <c r="H5" s="116" t="s">
        <v>65</v>
      </c>
      <c r="I5" s="116" t="s">
        <v>66</v>
      </c>
      <c r="J5" s="116" t="s">
        <v>64</v>
      </c>
      <c r="K5" s="116" t="s">
        <v>68</v>
      </c>
      <c r="L5" s="183"/>
      <c r="M5" s="186"/>
    </row>
    <row r="6" spans="1:13" s="104" customFormat="1" ht="26.55" customHeight="1" x14ac:dyDescent="0.3">
      <c r="A6" s="67">
        <v>1</v>
      </c>
      <c r="B6" s="68" t="s">
        <v>71</v>
      </c>
      <c r="C6" s="146">
        <v>20000000</v>
      </c>
      <c r="D6" s="101">
        <f>C6*17.5%</f>
        <v>3500000</v>
      </c>
      <c r="E6" s="101">
        <f>C6*3%</f>
        <v>600000</v>
      </c>
      <c r="F6" s="101">
        <f>C6*1%</f>
        <v>200000</v>
      </c>
      <c r="G6" s="101">
        <f>SUM(D6:F6)</f>
        <v>4300000</v>
      </c>
      <c r="H6" s="101">
        <f>C6*8%</f>
        <v>1600000</v>
      </c>
      <c r="I6" s="101">
        <f>C6*1.5%</f>
        <v>300000</v>
      </c>
      <c r="J6" s="101">
        <f>C6*1%</f>
        <v>200000</v>
      </c>
      <c r="K6" s="101">
        <f>SUM(H6:J6)</f>
        <v>2100000</v>
      </c>
      <c r="L6" s="102">
        <f>K6+G6</f>
        <v>6400000</v>
      </c>
      <c r="M6" s="103"/>
    </row>
    <row r="7" spans="1:13" s="104" customFormat="1" ht="26.55" customHeight="1" x14ac:dyDescent="0.3">
      <c r="A7" s="67">
        <v>2</v>
      </c>
      <c r="B7" s="68" t="s">
        <v>73</v>
      </c>
      <c r="C7" s="146">
        <v>10000000</v>
      </c>
      <c r="D7" s="101">
        <f>C7*17.5%</f>
        <v>1750000</v>
      </c>
      <c r="E7" s="101">
        <f>C7*3%</f>
        <v>300000</v>
      </c>
      <c r="F7" s="101">
        <f>C7*1%</f>
        <v>100000</v>
      </c>
      <c r="G7" s="101">
        <f t="shared" ref="G7" si="0">SUM(D7:F7)</f>
        <v>2150000</v>
      </c>
      <c r="H7" s="101">
        <f>C7*8%</f>
        <v>800000</v>
      </c>
      <c r="I7" s="101">
        <f>C7*1.5%</f>
        <v>150000</v>
      </c>
      <c r="J7" s="101">
        <f>C7*1%</f>
        <v>100000</v>
      </c>
      <c r="K7" s="101">
        <f t="shared" ref="K7" si="1">SUM(H7:J7)</f>
        <v>1050000</v>
      </c>
      <c r="L7" s="102">
        <f>K7+G7</f>
        <v>3200000</v>
      </c>
      <c r="M7" s="103"/>
    </row>
    <row r="8" spans="1:13" s="104" customFormat="1" ht="26.55" customHeight="1" x14ac:dyDescent="0.3">
      <c r="A8" s="67"/>
      <c r="B8" s="68"/>
      <c r="C8" s="146"/>
      <c r="D8" s="101"/>
      <c r="E8" s="101"/>
      <c r="F8" s="101"/>
      <c r="G8" s="101"/>
      <c r="H8" s="101"/>
      <c r="I8" s="101"/>
      <c r="J8" s="101"/>
      <c r="K8" s="101"/>
      <c r="L8" s="105"/>
      <c r="M8" s="103"/>
    </row>
    <row r="9" spans="1:13" s="104" customFormat="1" ht="26.55" customHeight="1" x14ac:dyDescent="0.3">
      <c r="A9" s="67"/>
      <c r="B9" s="68"/>
      <c r="C9" s="147"/>
      <c r="D9" s="101"/>
      <c r="E9" s="101"/>
      <c r="F9" s="101"/>
      <c r="G9" s="101"/>
      <c r="H9" s="101"/>
      <c r="I9" s="101"/>
      <c r="J9" s="101"/>
      <c r="K9" s="101"/>
      <c r="L9" s="105"/>
      <c r="M9" s="103"/>
    </row>
    <row r="10" spans="1:13" s="98" customFormat="1" ht="26.55" customHeight="1" x14ac:dyDescent="0.3">
      <c r="A10" s="180" t="s">
        <v>55</v>
      </c>
      <c r="B10" s="181"/>
      <c r="C10" s="148">
        <f>SUM(C6:C9)</f>
        <v>30000000</v>
      </c>
      <c r="D10" s="148">
        <f t="shared" ref="D10:L10" si="2">SUM(D6:D9)</f>
        <v>5250000</v>
      </c>
      <c r="E10" s="148">
        <f t="shared" si="2"/>
        <v>900000</v>
      </c>
      <c r="F10" s="148">
        <f t="shared" si="2"/>
        <v>300000</v>
      </c>
      <c r="G10" s="148">
        <f t="shared" si="2"/>
        <v>6450000</v>
      </c>
      <c r="H10" s="148">
        <f t="shared" si="2"/>
        <v>2400000</v>
      </c>
      <c r="I10" s="148">
        <f t="shared" si="2"/>
        <v>450000</v>
      </c>
      <c r="J10" s="148">
        <f t="shared" si="2"/>
        <v>300000</v>
      </c>
      <c r="K10" s="148">
        <f t="shared" si="2"/>
        <v>3150000</v>
      </c>
      <c r="L10" s="148">
        <f t="shared" si="2"/>
        <v>9600000</v>
      </c>
      <c r="M10" s="106"/>
    </row>
    <row r="11" spans="1:13" s="96" customFormat="1" ht="15.6" x14ac:dyDescent="0.3">
      <c r="A11" s="99"/>
      <c r="B11" s="99"/>
      <c r="C11" s="100"/>
      <c r="D11" s="100"/>
      <c r="E11" s="100"/>
      <c r="F11" s="100"/>
      <c r="G11" s="100"/>
      <c r="H11" s="100"/>
      <c r="I11" s="100"/>
      <c r="J11" s="100"/>
      <c r="K11" s="100"/>
      <c r="L11" s="100"/>
    </row>
    <row r="12" spans="1:13" x14ac:dyDescent="0.25">
      <c r="D12" s="110"/>
    </row>
    <row r="13" spans="1:13" x14ac:dyDescent="0.25">
      <c r="B13" s="107" t="s">
        <v>40</v>
      </c>
      <c r="C13" s="108"/>
      <c r="D13" s="110"/>
      <c r="E13" s="109"/>
      <c r="F13" s="185" t="s">
        <v>41</v>
      </c>
      <c r="G13" s="185"/>
      <c r="H13" s="185"/>
      <c r="I13" s="107"/>
      <c r="J13" s="107"/>
      <c r="K13" s="107"/>
      <c r="L13" s="107"/>
    </row>
    <row r="14" spans="1:13" x14ac:dyDescent="0.25">
      <c r="D14" s="110"/>
    </row>
  </sheetData>
  <mergeCells count="11">
    <mergeCell ref="M4:M5"/>
    <mergeCell ref="C4:C5"/>
    <mergeCell ref="B4:B5"/>
    <mergeCell ref="F2:H3"/>
    <mergeCell ref="D4:G4"/>
    <mergeCell ref="H4:K4"/>
    <mergeCell ref="A4:A5"/>
    <mergeCell ref="A10:B10"/>
    <mergeCell ref="L4:L5"/>
    <mergeCell ref="C1:L1"/>
    <mergeCell ref="F13:H13"/>
  </mergeCells>
  <pageMargins left="0.7" right="0.7" top="0.75" bottom="0.75" header="0.3" footer="0.3"/>
  <pageSetup paperSize="9" scale="70" orientation="landscape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07 2024</vt:lpstr>
      <vt:lpstr>Tong hop</vt:lpstr>
      <vt:lpstr>SALARY</vt:lpstr>
      <vt:lpstr>INSURANCE</vt:lpstr>
      <vt:lpstr>'07 2024'!Print_Area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明日 きっといい日になる</cp:lastModifiedBy>
  <cp:lastPrinted>2024-09-26T17:52:16Z</cp:lastPrinted>
  <dcterms:created xsi:type="dcterms:W3CDTF">2022-11-07T07:33:38Z</dcterms:created>
  <dcterms:modified xsi:type="dcterms:W3CDTF">2025-07-31T10:34:22Z</dcterms:modified>
</cp:coreProperties>
</file>
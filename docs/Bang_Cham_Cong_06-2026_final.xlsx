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iyanovietnam-my.sharepoint.com/personal/lan_ptt_miyano_com_vn/Documents/PTL/3. HR/3. Luong hang thang/Luong T6.2026/"/>
    </mc:Choice>
  </mc:AlternateContent>
  <xr:revisionPtr revIDLastSave="187" documentId="11_660FC531C7993F787860029FA0926AA29956BFF5" xr6:coauthVersionLast="47" xr6:coauthVersionMax="47" xr10:uidLastSave="{BE82A9BD-1494-4CE7-9096-DDCB6AD1EB09}"/>
  <bookViews>
    <workbookView xWindow="-120" yWindow="-120" windowWidth="29040" windowHeight="15720" xr2:uid="{00000000-000D-0000-FFFF-FFFF00000000}"/>
  </bookViews>
  <sheets>
    <sheet name="Bang Cham Cong" sheetId="1" r:id="rId1"/>
    <sheet name="PC ăn trưa" sheetId="2" r:id="rId2"/>
  </sheets>
  <definedNames>
    <definedName name="_xlnm.Print_Area" localSheetId="0">'Bang Cham Cong'!$A$1:$AO$34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2" l="1"/>
  <c r="B7" i="2"/>
  <c r="D7" i="2" s="1"/>
  <c r="B8" i="2"/>
  <c r="B9" i="2"/>
  <c r="D9" i="2" s="1"/>
  <c r="B10" i="2"/>
  <c r="D10" i="2" s="1"/>
  <c r="B11" i="2"/>
  <c r="D11" i="2" s="1"/>
  <c r="B12" i="2"/>
  <c r="D12" i="2" s="1"/>
  <c r="B13" i="2"/>
  <c r="D13" i="2" s="1"/>
  <c r="B5" i="2"/>
  <c r="D6" i="2"/>
  <c r="D8" i="2"/>
  <c r="D5" i="2"/>
  <c r="D14" i="2" l="1"/>
</calcChain>
</file>

<file path=xl/sharedStrings.xml><?xml version="1.0" encoding="utf-8"?>
<sst xmlns="http://schemas.openxmlformats.org/spreadsheetml/2006/main" count="385" uniqueCount="65">
  <si>
    <t>Nhân viên</t>
  </si>
  <si>
    <t>P</t>
  </si>
  <si>
    <t>H</t>
  </si>
  <si>
    <t>W</t>
  </si>
  <si>
    <t>L</t>
  </si>
  <si>
    <t>A</t>
  </si>
  <si>
    <t>Tổng giờ</t>
  </si>
  <si>
    <t>Ăn trưa</t>
  </si>
  <si>
    <t/>
  </si>
  <si>
    <t>T2</t>
  </si>
  <si>
    <t>T3</t>
  </si>
  <si>
    <t>T4</t>
  </si>
  <si>
    <t>T5</t>
  </si>
  <si>
    <t>T6</t>
  </si>
  <si>
    <t>T7</t>
  </si>
  <si>
    <t>CN</t>
  </si>
  <si>
    <t>Phạm Thị Yến</t>
  </si>
  <si>
    <t>77h13m</t>
  </si>
  <si>
    <t>8h35m</t>
  </si>
  <si>
    <t>Tạ Trường Xuân</t>
  </si>
  <si>
    <t>234h5m</t>
  </si>
  <si>
    <t>10h38m</t>
  </si>
  <si>
    <t>Phạm Huyền My</t>
  </si>
  <si>
    <t>177h35m</t>
  </si>
  <si>
    <t>8h27m</t>
  </si>
  <si>
    <t>Chu Văn Hiếu</t>
  </si>
  <si>
    <t>185h28m</t>
  </si>
  <si>
    <t>8h26m</t>
  </si>
  <si>
    <t>Bùi Hoàng Việt</t>
  </si>
  <si>
    <t>174h2m</t>
  </si>
  <si>
    <t>7h55m</t>
  </si>
  <si>
    <t>Nguyễn Thị Khương</t>
  </si>
  <si>
    <t>74h47m</t>
  </si>
  <si>
    <t>3h44m</t>
  </si>
  <si>
    <t>Phan Thị Thu Lan</t>
  </si>
  <si>
    <t>182h52m</t>
  </si>
  <si>
    <t>8h19m</t>
  </si>
  <si>
    <t>Nguyễn Yến Chi</t>
  </si>
  <si>
    <t>67h7m</t>
  </si>
  <si>
    <t>7h27m</t>
  </si>
  <si>
    <t>CÔNG TY TNHH MIYANO VIỆT NAM</t>
  </si>
  <si>
    <t>MST: 0109529507</t>
  </si>
  <si>
    <t>BẢNG CHẤM CÔNG</t>
  </si>
  <si>
    <t>Tháng 06 Năm 2026</t>
  </si>
  <si>
    <t>Giải thích ký hiệu</t>
  </si>
  <si>
    <t>Có mặt</t>
  </si>
  <si>
    <t>Nghỉ nửa ngày</t>
  </si>
  <si>
    <t>Làm việc tại nhà</t>
  </si>
  <si>
    <t>Nghỉ phép</t>
  </si>
  <si>
    <t>Nghỉ không lương</t>
  </si>
  <si>
    <t>Người lập</t>
  </si>
  <si>
    <t>Người duyệt</t>
  </si>
  <si>
    <t>Đoàn Ngọc Anh</t>
  </si>
  <si>
    <t>TB/
ngày</t>
  </si>
  <si>
    <t xml:space="preserve">Địa chỉ: số 20, Khu C17, ngõ 264/63, đường Ngọc Thụy, Phường Bồ Đề, Thành phố Hà Nội, Việt Nam </t>
  </si>
  <si>
    <t>CT</t>
  </si>
  <si>
    <t>Công tác</t>
  </si>
  <si>
    <t>Hà Nội, ngày 02 tháng 7 năm 2026</t>
  </si>
  <si>
    <t>TS</t>
  </si>
  <si>
    <t>Thai sản</t>
  </si>
  <si>
    <t>Đơn giá</t>
  </si>
  <si>
    <t>Tổng tiền PC</t>
  </si>
  <si>
    <t xml:space="preserve">Tổng </t>
  </si>
  <si>
    <t>STT</t>
  </si>
  <si>
    <t>đi tiếp khách 11/6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</si>
</sst>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name val="Calibri"/>
    </font>
    <font>
      <b/>
      <sz val="12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6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i/>
      <sz val="10"/>
      <name val="Times New Roman"/>
      <family val="1"/>
    </font>
    <font>
      <sz val="11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F4CCCC"/>
      </patternFill>
    </fill>
    <fill>
      <patternFill patternType="solid">
        <fgColor rgb="FFE2F0D9"/>
      </patternFill>
    </fill>
    <fill>
      <patternFill patternType="solid">
        <fgColor rgb="FFC6EFCE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theme="7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35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7" fillId="0" borderId="0" xfId="0" applyFont="1"/>
    <xf numFmtId="0" fontId="7" fillId="0" borderId="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0" fontId="2" fillId="8" borderId="10" xfId="0" applyFont="1" applyFill="1" applyBorder="1" applyAlignment="1">
      <alignment horizontal="center" vertical="center"/>
    </xf>
    <xf numFmtId="0" fontId="2" fillId="9" borderId="11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10" borderId="12" xfId="0" applyFont="1" applyFill="1" applyBorder="1" applyAlignment="1">
      <alignment horizontal="center" vertical="center"/>
    </xf>
    <xf numFmtId="0" fontId="2" fillId="10" borderId="10" xfId="0" applyFont="1" applyFill="1" applyBorder="1" applyAlignment="1">
      <alignment horizontal="center" vertical="center"/>
    </xf>
    <xf numFmtId="0" fontId="2" fillId="0" borderId="0" xfId="0" applyFont="1"/>
    <xf numFmtId="0" fontId="1" fillId="0" borderId="12" xfId="0" applyFont="1" applyBorder="1" applyAlignment="1">
      <alignment horizontal="center"/>
    </xf>
    <xf numFmtId="164" fontId="2" fillId="0" borderId="12" xfId="1" applyNumberFormat="1" applyFont="1" applyBorder="1"/>
    <xf numFmtId="164" fontId="2" fillId="0" borderId="12" xfId="0" applyNumberFormat="1" applyFont="1" applyBorder="1"/>
    <xf numFmtId="0" fontId="1" fillId="0" borderId="12" xfId="0" applyFont="1" applyBorder="1"/>
    <xf numFmtId="164" fontId="1" fillId="0" borderId="12" xfId="0" applyNumberFormat="1" applyFont="1" applyBorder="1"/>
    <xf numFmtId="0" fontId="3" fillId="0" borderId="12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" fontId="2" fillId="0" borderId="8" xfId="0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P34"/>
  <sheetViews>
    <sheetView tabSelected="1" workbookViewId="0">
      <selection activeCell="AA23" sqref="AA23"/>
    </sheetView>
  </sheetViews>
  <sheetFormatPr defaultRowHeight="15" x14ac:dyDescent="0.25"/>
  <cols>
    <col min="1" max="1" width="5.85546875" style="4" customWidth="1"/>
    <col min="2" max="2" width="22.7109375" style="4" customWidth="1"/>
    <col min="3" max="32" width="4.85546875" style="4" customWidth="1"/>
    <col min="33" max="33" width="5.5703125" style="4" customWidth="1"/>
    <col min="34" max="36" width="4.5703125" style="4" customWidth="1"/>
    <col min="37" max="38" width="4.7109375" style="4" customWidth="1"/>
    <col min="39" max="39" width="7" style="4" customWidth="1"/>
    <col min="40" max="40" width="8.42578125" style="4" customWidth="1"/>
    <col min="41" max="41" width="5.85546875" style="4" customWidth="1"/>
    <col min="42" max="16384" width="9.140625" style="4"/>
  </cols>
  <sheetData>
    <row r="1" spans="1:42" x14ac:dyDescent="0.25">
      <c r="A1" s="3" t="s">
        <v>40</v>
      </c>
      <c r="B1" s="3"/>
    </row>
    <row r="2" spans="1:42" x14ac:dyDescent="0.25">
      <c r="A2" s="4" t="s">
        <v>41</v>
      </c>
    </row>
    <row r="3" spans="1:42" x14ac:dyDescent="0.25">
      <c r="A3" s="4" t="s">
        <v>54</v>
      </c>
    </row>
    <row r="5" spans="1:42" ht="20.25" x14ac:dyDescent="0.3">
      <c r="A5" s="28" t="s">
        <v>42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</row>
    <row r="6" spans="1:42" ht="18.75" x14ac:dyDescent="0.25">
      <c r="A6" s="29" t="s">
        <v>43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</row>
    <row r="8" spans="1:42" ht="31.5" x14ac:dyDescent="0.25">
      <c r="A8" s="26" t="s">
        <v>63</v>
      </c>
      <c r="B8" s="1" t="s">
        <v>0</v>
      </c>
      <c r="C8" s="1">
        <v>1</v>
      </c>
      <c r="D8" s="1">
        <v>2</v>
      </c>
      <c r="E8" s="1">
        <v>3</v>
      </c>
      <c r="F8" s="1">
        <v>4</v>
      </c>
      <c r="G8" s="1">
        <v>5</v>
      </c>
      <c r="H8" s="1">
        <v>6</v>
      </c>
      <c r="I8" s="1">
        <v>7</v>
      </c>
      <c r="J8" s="1">
        <v>8</v>
      </c>
      <c r="K8" s="1">
        <v>9</v>
      </c>
      <c r="L8" s="1">
        <v>10</v>
      </c>
      <c r="M8" s="1">
        <v>11</v>
      </c>
      <c r="N8" s="1">
        <v>12</v>
      </c>
      <c r="O8" s="1">
        <v>13</v>
      </c>
      <c r="P8" s="1">
        <v>14</v>
      </c>
      <c r="Q8" s="1">
        <v>15</v>
      </c>
      <c r="R8" s="1">
        <v>16</v>
      </c>
      <c r="S8" s="1">
        <v>17</v>
      </c>
      <c r="T8" s="1">
        <v>18</v>
      </c>
      <c r="U8" s="1">
        <v>19</v>
      </c>
      <c r="V8" s="1">
        <v>20</v>
      </c>
      <c r="W8" s="1">
        <v>21</v>
      </c>
      <c r="X8" s="1">
        <v>22</v>
      </c>
      <c r="Y8" s="1">
        <v>23</v>
      </c>
      <c r="Z8" s="1">
        <v>24</v>
      </c>
      <c r="AA8" s="1">
        <v>25</v>
      </c>
      <c r="AB8" s="1">
        <v>26</v>
      </c>
      <c r="AC8" s="1">
        <v>27</v>
      </c>
      <c r="AD8" s="1">
        <v>28</v>
      </c>
      <c r="AE8" s="1">
        <v>29</v>
      </c>
      <c r="AF8" s="1">
        <v>30</v>
      </c>
      <c r="AG8" s="9" t="s">
        <v>1</v>
      </c>
      <c r="AH8" s="10" t="s">
        <v>2</v>
      </c>
      <c r="AI8" s="9" t="s">
        <v>3</v>
      </c>
      <c r="AJ8" s="11" t="s">
        <v>4</v>
      </c>
      <c r="AK8" s="12" t="s">
        <v>5</v>
      </c>
      <c r="AL8" s="18" t="s">
        <v>58</v>
      </c>
      <c r="AM8" s="7" t="s">
        <v>6</v>
      </c>
      <c r="AN8" s="7" t="s">
        <v>53</v>
      </c>
      <c r="AO8" s="7" t="s">
        <v>7</v>
      </c>
    </row>
    <row r="9" spans="1:42" ht="15.75" x14ac:dyDescent="0.25">
      <c r="A9" s="27"/>
      <c r="B9" s="1" t="s">
        <v>8</v>
      </c>
      <c r="C9" s="1" t="s">
        <v>9</v>
      </c>
      <c r="D9" s="1" t="s">
        <v>10</v>
      </c>
      <c r="E9" s="1" t="s">
        <v>11</v>
      </c>
      <c r="F9" s="1" t="s">
        <v>12</v>
      </c>
      <c r="G9" s="1" t="s">
        <v>13</v>
      </c>
      <c r="H9" s="13" t="s">
        <v>14</v>
      </c>
      <c r="I9" s="13" t="s">
        <v>15</v>
      </c>
      <c r="J9" s="1" t="s">
        <v>9</v>
      </c>
      <c r="K9" s="1" t="s">
        <v>10</v>
      </c>
      <c r="L9" s="1" t="s">
        <v>11</v>
      </c>
      <c r="M9" s="1" t="s">
        <v>12</v>
      </c>
      <c r="N9" s="1" t="s">
        <v>13</v>
      </c>
      <c r="O9" s="13" t="s">
        <v>14</v>
      </c>
      <c r="P9" s="13" t="s">
        <v>15</v>
      </c>
      <c r="Q9" s="1" t="s">
        <v>9</v>
      </c>
      <c r="R9" s="1" t="s">
        <v>10</v>
      </c>
      <c r="S9" s="1" t="s">
        <v>11</v>
      </c>
      <c r="T9" s="1" t="s">
        <v>12</v>
      </c>
      <c r="U9" s="1" t="s">
        <v>13</v>
      </c>
      <c r="V9" s="13" t="s">
        <v>14</v>
      </c>
      <c r="W9" s="13" t="s">
        <v>15</v>
      </c>
      <c r="X9" s="1" t="s">
        <v>9</v>
      </c>
      <c r="Y9" s="1" t="s">
        <v>10</v>
      </c>
      <c r="Z9" s="1" t="s">
        <v>11</v>
      </c>
      <c r="AA9" s="1" t="s">
        <v>12</v>
      </c>
      <c r="AB9" s="1" t="s">
        <v>13</v>
      </c>
      <c r="AC9" s="13" t="s">
        <v>14</v>
      </c>
      <c r="AD9" s="13" t="s">
        <v>15</v>
      </c>
      <c r="AE9" s="1" t="s">
        <v>9</v>
      </c>
      <c r="AF9" s="1" t="s">
        <v>10</v>
      </c>
      <c r="AG9" s="1" t="s">
        <v>8</v>
      </c>
      <c r="AH9" s="1" t="s">
        <v>8</v>
      </c>
      <c r="AI9" s="1" t="s">
        <v>8</v>
      </c>
      <c r="AJ9" s="1" t="s">
        <v>8</v>
      </c>
      <c r="AK9" s="1" t="s">
        <v>8</v>
      </c>
      <c r="AL9" s="17"/>
      <c r="AM9" s="1" t="s">
        <v>8</v>
      </c>
      <c r="AN9" s="1" t="s">
        <v>8</v>
      </c>
      <c r="AO9" s="1" t="s">
        <v>8</v>
      </c>
    </row>
    <row r="10" spans="1:42" ht="15.75" x14ac:dyDescent="0.25">
      <c r="A10" s="27">
        <v>1</v>
      </c>
      <c r="B10" s="8" t="s">
        <v>52</v>
      </c>
      <c r="C10" s="14" t="s">
        <v>1</v>
      </c>
      <c r="D10" s="14" t="s">
        <v>1</v>
      </c>
      <c r="E10" s="14" t="s">
        <v>1</v>
      </c>
      <c r="F10" s="14" t="s">
        <v>1</v>
      </c>
      <c r="G10" s="14" t="s">
        <v>1</v>
      </c>
      <c r="H10" s="2" t="s">
        <v>8</v>
      </c>
      <c r="I10" s="2" t="s">
        <v>8</v>
      </c>
      <c r="J10" s="14" t="s">
        <v>1</v>
      </c>
      <c r="K10" s="14" t="s">
        <v>1</v>
      </c>
      <c r="L10" s="14" t="s">
        <v>1</v>
      </c>
      <c r="M10" s="14" t="s">
        <v>1</v>
      </c>
      <c r="N10" s="14" t="s">
        <v>1</v>
      </c>
      <c r="O10" s="2" t="s">
        <v>8</v>
      </c>
      <c r="P10" s="2" t="s">
        <v>8</v>
      </c>
      <c r="Q10" s="14" t="s">
        <v>1</v>
      </c>
      <c r="R10" s="14" t="s">
        <v>1</v>
      </c>
      <c r="S10" s="14" t="s">
        <v>1</v>
      </c>
      <c r="T10" s="14" t="s">
        <v>1</v>
      </c>
      <c r="U10" s="14" t="s">
        <v>1</v>
      </c>
      <c r="V10" s="2" t="s">
        <v>8</v>
      </c>
      <c r="W10" s="2" t="s">
        <v>8</v>
      </c>
      <c r="X10" s="14" t="s">
        <v>1</v>
      </c>
      <c r="Y10" s="14" t="s">
        <v>1</v>
      </c>
      <c r="Z10" s="14" t="s">
        <v>55</v>
      </c>
      <c r="AA10" s="14" t="s">
        <v>55</v>
      </c>
      <c r="AB10" s="14" t="s">
        <v>55</v>
      </c>
      <c r="AC10" s="2" t="s">
        <v>8</v>
      </c>
      <c r="AD10" s="2" t="s">
        <v>8</v>
      </c>
      <c r="AE10" s="14" t="s">
        <v>1</v>
      </c>
      <c r="AF10" s="14" t="s">
        <v>1</v>
      </c>
      <c r="AG10" s="2">
        <v>22</v>
      </c>
      <c r="AH10" s="2">
        <v>0</v>
      </c>
      <c r="AI10" s="2">
        <v>0</v>
      </c>
      <c r="AJ10" s="2">
        <v>0</v>
      </c>
      <c r="AK10" s="2">
        <v>0</v>
      </c>
      <c r="AL10" s="8">
        <v>0</v>
      </c>
      <c r="AM10" s="8"/>
      <c r="AN10" s="8"/>
      <c r="AO10" s="8">
        <v>18</v>
      </c>
      <c r="AP10" s="4" t="s">
        <v>64</v>
      </c>
    </row>
    <row r="11" spans="1:42" ht="15.75" x14ac:dyDescent="0.25">
      <c r="A11" s="27">
        <v>2</v>
      </c>
      <c r="B11" s="2" t="s">
        <v>16</v>
      </c>
      <c r="C11" s="14" t="s">
        <v>1</v>
      </c>
      <c r="D11" s="14" t="s">
        <v>1</v>
      </c>
      <c r="E11" s="14" t="s">
        <v>1</v>
      </c>
      <c r="F11" s="14" t="s">
        <v>1</v>
      </c>
      <c r="G11" s="14" t="s">
        <v>1</v>
      </c>
      <c r="H11" s="2" t="s">
        <v>8</v>
      </c>
      <c r="I11" s="2" t="s">
        <v>8</v>
      </c>
      <c r="J11" s="14" t="s">
        <v>1</v>
      </c>
      <c r="K11" s="14" t="s">
        <v>1</v>
      </c>
      <c r="L11" s="14" t="s">
        <v>1</v>
      </c>
      <c r="M11" s="14" t="s">
        <v>1</v>
      </c>
      <c r="N11" s="15" t="s">
        <v>4</v>
      </c>
      <c r="O11" s="2" t="s">
        <v>8</v>
      </c>
      <c r="P11" s="2" t="s">
        <v>8</v>
      </c>
      <c r="Q11" s="19" t="s">
        <v>58</v>
      </c>
      <c r="R11" s="19" t="s">
        <v>58</v>
      </c>
      <c r="S11" s="19" t="s">
        <v>58</v>
      </c>
      <c r="T11" s="19" t="s">
        <v>58</v>
      </c>
      <c r="U11" s="19" t="s">
        <v>58</v>
      </c>
      <c r="V11" s="2" t="s">
        <v>8</v>
      </c>
      <c r="W11" s="2" t="s">
        <v>8</v>
      </c>
      <c r="X11" s="19" t="s">
        <v>58</v>
      </c>
      <c r="Y11" s="19" t="s">
        <v>58</v>
      </c>
      <c r="Z11" s="19" t="s">
        <v>58</v>
      </c>
      <c r="AA11" s="19" t="s">
        <v>58</v>
      </c>
      <c r="AB11" s="19" t="s">
        <v>58</v>
      </c>
      <c r="AC11" s="2" t="s">
        <v>8</v>
      </c>
      <c r="AD11" s="2" t="s">
        <v>8</v>
      </c>
      <c r="AE11" s="19" t="s">
        <v>58</v>
      </c>
      <c r="AF11" s="19" t="s">
        <v>58</v>
      </c>
      <c r="AG11" s="2">
        <v>9</v>
      </c>
      <c r="AH11" s="2">
        <v>0</v>
      </c>
      <c r="AI11" s="2">
        <v>0</v>
      </c>
      <c r="AJ11" s="2">
        <v>1</v>
      </c>
      <c r="AK11" s="2">
        <v>0</v>
      </c>
      <c r="AL11" s="8">
        <v>12</v>
      </c>
      <c r="AM11" s="6" t="s">
        <v>17</v>
      </c>
      <c r="AN11" s="6" t="s">
        <v>18</v>
      </c>
      <c r="AO11" s="2">
        <v>9</v>
      </c>
    </row>
    <row r="12" spans="1:42" ht="15.75" x14ac:dyDescent="0.25">
      <c r="A12" s="27">
        <v>3</v>
      </c>
      <c r="B12" s="2" t="s">
        <v>19</v>
      </c>
      <c r="C12" s="14" t="s">
        <v>1</v>
      </c>
      <c r="D12" s="14" t="s">
        <v>1</v>
      </c>
      <c r="E12" s="14" t="s">
        <v>1</v>
      </c>
      <c r="F12" s="14" t="s">
        <v>1</v>
      </c>
      <c r="G12" s="14" t="s">
        <v>1</v>
      </c>
      <c r="H12" s="2" t="s">
        <v>8</v>
      </c>
      <c r="I12" s="2" t="s">
        <v>8</v>
      </c>
      <c r="J12" s="14" t="s">
        <v>1</v>
      </c>
      <c r="K12" s="14" t="s">
        <v>1</v>
      </c>
      <c r="L12" s="14" t="s">
        <v>1</v>
      </c>
      <c r="M12" s="14" t="s">
        <v>1</v>
      </c>
      <c r="N12" s="14" t="s">
        <v>1</v>
      </c>
      <c r="O12" s="2" t="s">
        <v>8</v>
      </c>
      <c r="P12" s="2" t="s">
        <v>8</v>
      </c>
      <c r="Q12" s="14" t="s">
        <v>1</v>
      </c>
      <c r="R12" s="14" t="s">
        <v>1</v>
      </c>
      <c r="S12" s="14" t="s">
        <v>1</v>
      </c>
      <c r="T12" s="14" t="s">
        <v>1</v>
      </c>
      <c r="U12" s="14" t="s">
        <v>55</v>
      </c>
      <c r="V12" s="2" t="s">
        <v>8</v>
      </c>
      <c r="W12" s="2" t="s">
        <v>8</v>
      </c>
      <c r="X12" s="14" t="s">
        <v>1</v>
      </c>
      <c r="Y12" s="14" t="s">
        <v>1</v>
      </c>
      <c r="Z12" s="14" t="s">
        <v>1</v>
      </c>
      <c r="AA12" s="14" t="s">
        <v>1</v>
      </c>
      <c r="AB12" s="14" t="s">
        <v>1</v>
      </c>
      <c r="AC12" s="2" t="s">
        <v>8</v>
      </c>
      <c r="AD12" s="2" t="s">
        <v>8</v>
      </c>
      <c r="AE12" s="14" t="s">
        <v>1</v>
      </c>
      <c r="AF12" s="14" t="s">
        <v>1</v>
      </c>
      <c r="AG12" s="2">
        <v>22</v>
      </c>
      <c r="AH12" s="2">
        <v>0</v>
      </c>
      <c r="AI12" s="2">
        <v>0</v>
      </c>
      <c r="AJ12" s="2">
        <v>0</v>
      </c>
      <c r="AK12" s="2">
        <v>0</v>
      </c>
      <c r="AL12" s="8">
        <v>0</v>
      </c>
      <c r="AM12" s="6" t="s">
        <v>20</v>
      </c>
      <c r="AN12" s="6" t="s">
        <v>21</v>
      </c>
      <c r="AO12" s="2">
        <v>21</v>
      </c>
    </row>
    <row r="13" spans="1:42" ht="15.75" x14ac:dyDescent="0.25">
      <c r="A13" s="27">
        <v>4</v>
      </c>
      <c r="B13" s="2" t="s">
        <v>22</v>
      </c>
      <c r="C13" s="14" t="s">
        <v>1</v>
      </c>
      <c r="D13" s="14" t="s">
        <v>1</v>
      </c>
      <c r="E13" s="14" t="s">
        <v>1</v>
      </c>
      <c r="F13" s="14" t="s">
        <v>1</v>
      </c>
      <c r="G13" s="14" t="s">
        <v>1</v>
      </c>
      <c r="H13" s="2" t="s">
        <v>8</v>
      </c>
      <c r="I13" s="2" t="s">
        <v>8</v>
      </c>
      <c r="J13" s="14" t="s">
        <v>1</v>
      </c>
      <c r="K13" s="14" t="s">
        <v>1</v>
      </c>
      <c r="L13" s="14" t="s">
        <v>1</v>
      </c>
      <c r="M13" s="14" t="s">
        <v>1</v>
      </c>
      <c r="N13" s="14" t="s">
        <v>1</v>
      </c>
      <c r="O13" s="2" t="s">
        <v>8</v>
      </c>
      <c r="P13" s="2" t="s">
        <v>8</v>
      </c>
      <c r="Q13" s="14" t="s">
        <v>1</v>
      </c>
      <c r="R13" s="14" t="s">
        <v>1</v>
      </c>
      <c r="S13" s="14" t="s">
        <v>1</v>
      </c>
      <c r="T13" s="14" t="s">
        <v>1</v>
      </c>
      <c r="U13" s="15" t="s">
        <v>4</v>
      </c>
      <c r="V13" s="2" t="s">
        <v>8</v>
      </c>
      <c r="W13" s="2" t="s">
        <v>8</v>
      </c>
      <c r="X13" s="14" t="s">
        <v>1</v>
      </c>
      <c r="Y13" s="14" t="s">
        <v>1</v>
      </c>
      <c r="Z13" s="14" t="s">
        <v>1</v>
      </c>
      <c r="AA13" s="14" t="s">
        <v>1</v>
      </c>
      <c r="AB13" s="14" t="s">
        <v>1</v>
      </c>
      <c r="AC13" s="2" t="s">
        <v>8</v>
      </c>
      <c r="AD13" s="2" t="s">
        <v>8</v>
      </c>
      <c r="AE13" s="14" t="s">
        <v>1</v>
      </c>
      <c r="AF13" s="14" t="s">
        <v>1</v>
      </c>
      <c r="AG13" s="2">
        <v>21</v>
      </c>
      <c r="AH13" s="2">
        <v>0</v>
      </c>
      <c r="AI13" s="2">
        <v>0</v>
      </c>
      <c r="AJ13" s="2">
        <v>1</v>
      </c>
      <c r="AK13" s="2">
        <v>0</v>
      </c>
      <c r="AL13" s="8">
        <v>0</v>
      </c>
      <c r="AM13" s="6" t="s">
        <v>23</v>
      </c>
      <c r="AN13" s="6" t="s">
        <v>24</v>
      </c>
      <c r="AO13" s="2">
        <v>21</v>
      </c>
    </row>
    <row r="14" spans="1:42" ht="15.75" x14ac:dyDescent="0.25">
      <c r="A14" s="27">
        <v>5</v>
      </c>
      <c r="B14" s="2" t="s">
        <v>25</v>
      </c>
      <c r="C14" s="14" t="s">
        <v>1</v>
      </c>
      <c r="D14" s="14" t="s">
        <v>1</v>
      </c>
      <c r="E14" s="14" t="s">
        <v>1</v>
      </c>
      <c r="F14" s="14" t="s">
        <v>1</v>
      </c>
      <c r="G14" s="14" t="s">
        <v>1</v>
      </c>
      <c r="H14" s="2" t="s">
        <v>8</v>
      </c>
      <c r="I14" s="2" t="s">
        <v>8</v>
      </c>
      <c r="J14" s="14" t="s">
        <v>1</v>
      </c>
      <c r="K14" s="14" t="s">
        <v>1</v>
      </c>
      <c r="L14" s="14" t="s">
        <v>1</v>
      </c>
      <c r="M14" s="14" t="s">
        <v>1</v>
      </c>
      <c r="N14" s="14" t="s">
        <v>1</v>
      </c>
      <c r="O14" s="2" t="s">
        <v>8</v>
      </c>
      <c r="P14" s="2" t="s">
        <v>8</v>
      </c>
      <c r="Q14" s="14" t="s">
        <v>1</v>
      </c>
      <c r="R14" s="14" t="s">
        <v>1</v>
      </c>
      <c r="S14" s="14" t="s">
        <v>1</v>
      </c>
      <c r="T14" s="14" t="s">
        <v>1</v>
      </c>
      <c r="U14" s="14" t="s">
        <v>55</v>
      </c>
      <c r="V14" s="2" t="s">
        <v>8</v>
      </c>
      <c r="W14" s="2" t="s">
        <v>8</v>
      </c>
      <c r="X14" s="14" t="s">
        <v>1</v>
      </c>
      <c r="Y14" s="14" t="s">
        <v>1</v>
      </c>
      <c r="Z14" s="14" t="s">
        <v>1</v>
      </c>
      <c r="AA14" s="14" t="s">
        <v>1</v>
      </c>
      <c r="AB14" s="14" t="s">
        <v>1</v>
      </c>
      <c r="AC14" s="2" t="s">
        <v>8</v>
      </c>
      <c r="AD14" s="2" t="s">
        <v>8</v>
      </c>
      <c r="AE14" s="14" t="s">
        <v>1</v>
      </c>
      <c r="AF14" s="14" t="s">
        <v>1</v>
      </c>
      <c r="AG14" s="2">
        <v>22</v>
      </c>
      <c r="AH14" s="2">
        <v>0</v>
      </c>
      <c r="AI14" s="2">
        <v>0</v>
      </c>
      <c r="AJ14" s="2">
        <v>0</v>
      </c>
      <c r="AK14" s="2">
        <v>0</v>
      </c>
      <c r="AL14" s="8">
        <v>0</v>
      </c>
      <c r="AM14" s="6" t="s">
        <v>26</v>
      </c>
      <c r="AN14" s="6" t="s">
        <v>27</v>
      </c>
      <c r="AO14" s="2">
        <v>21</v>
      </c>
    </row>
    <row r="15" spans="1:42" ht="15.75" x14ac:dyDescent="0.25">
      <c r="A15" s="27">
        <v>6</v>
      </c>
      <c r="B15" s="2" t="s">
        <v>28</v>
      </c>
      <c r="C15" s="14" t="s">
        <v>1</v>
      </c>
      <c r="D15" s="14" t="s">
        <v>1</v>
      </c>
      <c r="E15" s="14" t="s">
        <v>1</v>
      </c>
      <c r="F15" s="14" t="s">
        <v>1</v>
      </c>
      <c r="G15" s="14" t="s">
        <v>1</v>
      </c>
      <c r="H15" s="2" t="s">
        <v>8</v>
      </c>
      <c r="I15" s="2" t="s">
        <v>8</v>
      </c>
      <c r="J15" s="14" t="s">
        <v>1</v>
      </c>
      <c r="K15" s="14" t="s">
        <v>1</v>
      </c>
      <c r="L15" s="14" t="s">
        <v>1</v>
      </c>
      <c r="M15" s="14" t="s">
        <v>1</v>
      </c>
      <c r="N15" s="14" t="s">
        <v>1</v>
      </c>
      <c r="O15" s="2" t="s">
        <v>8</v>
      </c>
      <c r="P15" s="2" t="s">
        <v>8</v>
      </c>
      <c r="Q15" s="14" t="s">
        <v>1</v>
      </c>
      <c r="R15" s="14" t="s">
        <v>1</v>
      </c>
      <c r="S15" s="14" t="s">
        <v>1</v>
      </c>
      <c r="T15" s="14" t="s">
        <v>1</v>
      </c>
      <c r="U15" s="14" t="s">
        <v>55</v>
      </c>
      <c r="V15" s="2" t="s">
        <v>8</v>
      </c>
      <c r="W15" s="2" t="s">
        <v>8</v>
      </c>
      <c r="X15" s="14" t="s">
        <v>1</v>
      </c>
      <c r="Y15" s="16" t="s">
        <v>2</v>
      </c>
      <c r="Z15" s="14" t="s">
        <v>1</v>
      </c>
      <c r="AA15" s="14" t="s">
        <v>1</v>
      </c>
      <c r="AB15" s="14" t="s">
        <v>1</v>
      </c>
      <c r="AC15" s="2" t="s">
        <v>8</v>
      </c>
      <c r="AD15" s="2" t="s">
        <v>8</v>
      </c>
      <c r="AE15" s="14" t="s">
        <v>1</v>
      </c>
      <c r="AF15" s="14" t="s">
        <v>1</v>
      </c>
      <c r="AG15" s="34">
        <v>21</v>
      </c>
      <c r="AH15" s="2">
        <v>1</v>
      </c>
      <c r="AI15" s="2">
        <v>0</v>
      </c>
      <c r="AJ15" s="2">
        <v>0</v>
      </c>
      <c r="AK15" s="2">
        <v>0</v>
      </c>
      <c r="AL15" s="8">
        <v>0</v>
      </c>
      <c r="AM15" s="6" t="s">
        <v>29</v>
      </c>
      <c r="AN15" s="6" t="s">
        <v>30</v>
      </c>
      <c r="AO15" s="2">
        <v>20</v>
      </c>
    </row>
    <row r="16" spans="1:42" ht="15.75" x14ac:dyDescent="0.25">
      <c r="A16" s="27">
        <v>7</v>
      </c>
      <c r="B16" s="2" t="s">
        <v>31</v>
      </c>
      <c r="C16" s="14" t="s">
        <v>1</v>
      </c>
      <c r="D16" s="14" t="s">
        <v>1</v>
      </c>
      <c r="E16" s="14" t="s">
        <v>1</v>
      </c>
      <c r="F16" s="14" t="s">
        <v>1</v>
      </c>
      <c r="G16" s="14" t="s">
        <v>1</v>
      </c>
      <c r="H16" s="2" t="s">
        <v>8</v>
      </c>
      <c r="I16" s="2" t="s">
        <v>8</v>
      </c>
      <c r="J16" s="14" t="s">
        <v>1</v>
      </c>
      <c r="K16" s="14" t="s">
        <v>1</v>
      </c>
      <c r="L16" s="14" t="s">
        <v>1</v>
      </c>
      <c r="M16" s="14" t="s">
        <v>1</v>
      </c>
      <c r="N16" s="14" t="s">
        <v>1</v>
      </c>
      <c r="O16" s="2" t="s">
        <v>8</v>
      </c>
      <c r="P16" s="2" t="s">
        <v>8</v>
      </c>
      <c r="Q16" s="14" t="s">
        <v>1</v>
      </c>
      <c r="R16" s="14" t="s">
        <v>1</v>
      </c>
      <c r="S16" s="14" t="s">
        <v>1</v>
      </c>
      <c r="T16" s="14" t="s">
        <v>1</v>
      </c>
      <c r="U16" s="14" t="s">
        <v>1</v>
      </c>
      <c r="V16" s="2" t="s">
        <v>8</v>
      </c>
      <c r="W16" s="2" t="s">
        <v>8</v>
      </c>
      <c r="X16" s="14" t="s">
        <v>1</v>
      </c>
      <c r="Y16" s="14" t="s">
        <v>1</v>
      </c>
      <c r="Z16" s="14" t="s">
        <v>1</v>
      </c>
      <c r="AA16" s="14" t="s">
        <v>1</v>
      </c>
      <c r="AB16" s="14" t="s">
        <v>1</v>
      </c>
      <c r="AC16" s="2" t="s">
        <v>8</v>
      </c>
      <c r="AD16" s="2" t="s">
        <v>8</v>
      </c>
      <c r="AE16" s="14" t="s">
        <v>1</v>
      </c>
      <c r="AF16" s="14" t="s">
        <v>1</v>
      </c>
      <c r="AG16" s="34">
        <v>22</v>
      </c>
      <c r="AH16" s="2">
        <v>0</v>
      </c>
      <c r="AI16" s="2">
        <v>0</v>
      </c>
      <c r="AJ16" s="2">
        <v>0</v>
      </c>
      <c r="AK16" s="2">
        <v>0</v>
      </c>
      <c r="AL16" s="8">
        <v>0</v>
      </c>
      <c r="AM16" s="6" t="s">
        <v>32</v>
      </c>
      <c r="AN16" s="6" t="s">
        <v>33</v>
      </c>
      <c r="AO16" s="2">
        <v>0</v>
      </c>
    </row>
    <row r="17" spans="1:41" ht="15.75" x14ac:dyDescent="0.25">
      <c r="A17" s="27">
        <v>8</v>
      </c>
      <c r="B17" s="2" t="s">
        <v>34</v>
      </c>
      <c r="C17" s="14" t="s">
        <v>1</v>
      </c>
      <c r="D17" s="14" t="s">
        <v>1</v>
      </c>
      <c r="E17" s="14" t="s">
        <v>1</v>
      </c>
      <c r="F17" s="14" t="s">
        <v>1</v>
      </c>
      <c r="G17" s="14" t="s">
        <v>1</v>
      </c>
      <c r="H17" s="2" t="s">
        <v>8</v>
      </c>
      <c r="I17" s="2" t="s">
        <v>8</v>
      </c>
      <c r="J17" s="14" t="s">
        <v>1</v>
      </c>
      <c r="K17" s="14" t="s">
        <v>1</v>
      </c>
      <c r="L17" s="14" t="s">
        <v>1</v>
      </c>
      <c r="M17" s="14" t="s">
        <v>1</v>
      </c>
      <c r="N17" s="14" t="s">
        <v>1</v>
      </c>
      <c r="O17" s="2" t="s">
        <v>8</v>
      </c>
      <c r="P17" s="2" t="s">
        <v>8</v>
      </c>
      <c r="Q17" s="14" t="s">
        <v>1</v>
      </c>
      <c r="R17" s="14" t="s">
        <v>1</v>
      </c>
      <c r="S17" s="14" t="s">
        <v>1</v>
      </c>
      <c r="T17" s="14" t="s">
        <v>1</v>
      </c>
      <c r="U17" s="14" t="s">
        <v>1</v>
      </c>
      <c r="V17" s="2" t="s">
        <v>8</v>
      </c>
      <c r="W17" s="2" t="s">
        <v>8</v>
      </c>
      <c r="X17" s="14" t="s">
        <v>1</v>
      </c>
      <c r="Y17" s="14" t="s">
        <v>1</v>
      </c>
      <c r="Z17" s="14" t="s">
        <v>1</v>
      </c>
      <c r="AA17" s="14" t="s">
        <v>1</v>
      </c>
      <c r="AB17" s="14" t="s">
        <v>1</v>
      </c>
      <c r="AC17" s="2" t="s">
        <v>8</v>
      </c>
      <c r="AD17" s="2" t="s">
        <v>8</v>
      </c>
      <c r="AE17" s="14" t="s">
        <v>1</v>
      </c>
      <c r="AF17" s="14" t="s">
        <v>1</v>
      </c>
      <c r="AG17" s="34">
        <v>22</v>
      </c>
      <c r="AH17" s="2">
        <v>0</v>
      </c>
      <c r="AI17" s="2">
        <v>0</v>
      </c>
      <c r="AJ17" s="2">
        <v>0</v>
      </c>
      <c r="AK17" s="2">
        <v>0</v>
      </c>
      <c r="AL17" s="8">
        <v>0</v>
      </c>
      <c r="AM17" s="6" t="s">
        <v>35</v>
      </c>
      <c r="AN17" s="6" t="s">
        <v>36</v>
      </c>
      <c r="AO17" s="2">
        <v>22</v>
      </c>
    </row>
    <row r="18" spans="1:41" ht="15.75" x14ac:dyDescent="0.25">
      <c r="A18" s="27">
        <v>9</v>
      </c>
      <c r="B18" s="2" t="s">
        <v>37</v>
      </c>
      <c r="C18" s="2" t="s">
        <v>8</v>
      </c>
      <c r="D18" s="2" t="s">
        <v>8</v>
      </c>
      <c r="E18" s="2" t="s">
        <v>8</v>
      </c>
      <c r="F18" s="2" t="s">
        <v>8</v>
      </c>
      <c r="G18" s="2" t="s">
        <v>8</v>
      </c>
      <c r="H18" s="2" t="s">
        <v>8</v>
      </c>
      <c r="I18" s="2" t="s">
        <v>8</v>
      </c>
      <c r="J18" s="2" t="s">
        <v>8</v>
      </c>
      <c r="K18" s="2" t="s">
        <v>8</v>
      </c>
      <c r="L18" s="2" t="s">
        <v>8</v>
      </c>
      <c r="M18" s="2" t="s">
        <v>8</v>
      </c>
      <c r="N18" s="2" t="s">
        <v>8</v>
      </c>
      <c r="O18" s="2" t="s">
        <v>8</v>
      </c>
      <c r="P18" s="2" t="s">
        <v>8</v>
      </c>
      <c r="Q18" s="16" t="s">
        <v>2</v>
      </c>
      <c r="R18" s="14" t="s">
        <v>1</v>
      </c>
      <c r="S18" s="14" t="s">
        <v>1</v>
      </c>
      <c r="T18" s="14" t="s">
        <v>1</v>
      </c>
      <c r="U18" s="14" t="s">
        <v>1</v>
      </c>
      <c r="V18" s="2" t="s">
        <v>8</v>
      </c>
      <c r="W18" s="2" t="s">
        <v>8</v>
      </c>
      <c r="X18" s="14" t="s">
        <v>1</v>
      </c>
      <c r="Y18" s="14" t="s">
        <v>1</v>
      </c>
      <c r="Z18" s="14" t="s">
        <v>55</v>
      </c>
      <c r="AA18" s="14" t="s">
        <v>55</v>
      </c>
      <c r="AB18" s="14" t="s">
        <v>55</v>
      </c>
      <c r="AC18" s="2" t="s">
        <v>8</v>
      </c>
      <c r="AD18" s="2" t="s">
        <v>8</v>
      </c>
      <c r="AE18" s="14" t="s">
        <v>1</v>
      </c>
      <c r="AF18" s="14" t="s">
        <v>1</v>
      </c>
      <c r="AG18" s="34">
        <v>11</v>
      </c>
      <c r="AH18" s="2">
        <v>1</v>
      </c>
      <c r="AI18" s="2">
        <v>0</v>
      </c>
      <c r="AJ18" s="2">
        <v>0</v>
      </c>
      <c r="AK18" s="2">
        <v>0</v>
      </c>
      <c r="AL18" s="8">
        <v>0</v>
      </c>
      <c r="AM18" s="6" t="s">
        <v>38</v>
      </c>
      <c r="AN18" s="6" t="s">
        <v>39</v>
      </c>
      <c r="AO18" s="2">
        <v>9</v>
      </c>
    </row>
    <row r="20" spans="1:41" x14ac:dyDescent="0.25">
      <c r="B20" s="5" t="s">
        <v>44</v>
      </c>
      <c r="C20" s="5" t="s">
        <v>1</v>
      </c>
      <c r="D20" s="5" t="s">
        <v>45</v>
      </c>
      <c r="E20" s="5"/>
      <c r="F20" s="5"/>
    </row>
    <row r="21" spans="1:41" x14ac:dyDescent="0.25">
      <c r="B21" s="5"/>
      <c r="C21" s="5" t="s">
        <v>2</v>
      </c>
      <c r="D21" s="5" t="s">
        <v>46</v>
      </c>
      <c r="E21" s="5"/>
      <c r="F21" s="5"/>
    </row>
    <row r="22" spans="1:41" x14ac:dyDescent="0.25">
      <c r="B22" s="5"/>
      <c r="C22" s="5" t="s">
        <v>3</v>
      </c>
      <c r="D22" s="5" t="s">
        <v>47</v>
      </c>
      <c r="E22" s="5"/>
      <c r="F22" s="5"/>
    </row>
    <row r="23" spans="1:41" x14ac:dyDescent="0.25">
      <c r="B23" s="5"/>
      <c r="C23" s="5" t="s">
        <v>4</v>
      </c>
      <c r="D23" s="5" t="s">
        <v>48</v>
      </c>
      <c r="E23" s="5"/>
      <c r="F23" s="5"/>
    </row>
    <row r="24" spans="1:41" x14ac:dyDescent="0.25">
      <c r="B24" s="5"/>
      <c r="C24" s="5" t="s">
        <v>5</v>
      </c>
      <c r="D24" s="5" t="s">
        <v>49</v>
      </c>
      <c r="E24" s="5"/>
      <c r="F24" s="5"/>
    </row>
    <row r="25" spans="1:41" x14ac:dyDescent="0.25">
      <c r="B25" s="5"/>
      <c r="C25" s="5" t="s">
        <v>55</v>
      </c>
      <c r="D25" s="5" t="s">
        <v>56</v>
      </c>
      <c r="E25" s="5"/>
      <c r="F25" s="5"/>
    </row>
    <row r="26" spans="1:41" x14ac:dyDescent="0.25">
      <c r="B26" s="5"/>
      <c r="C26" s="5" t="s">
        <v>58</v>
      </c>
      <c r="D26" s="5" t="s">
        <v>59</v>
      </c>
      <c r="E26" s="5"/>
      <c r="F26" s="5"/>
    </row>
    <row r="27" spans="1:41" x14ac:dyDescent="0.25">
      <c r="AF27" s="32" t="s">
        <v>57</v>
      </c>
      <c r="AG27" s="32"/>
      <c r="AH27" s="32"/>
      <c r="AI27" s="32"/>
      <c r="AJ27" s="32"/>
      <c r="AK27" s="32"/>
      <c r="AL27" s="32"/>
      <c r="AM27" s="32"/>
      <c r="AN27" s="32"/>
      <c r="AO27" s="32"/>
    </row>
    <row r="28" spans="1:41" x14ac:dyDescent="0.25">
      <c r="S28" s="30" t="s">
        <v>50</v>
      </c>
      <c r="T28" s="30"/>
      <c r="U28" s="30"/>
      <c r="V28" s="30"/>
      <c r="W28" s="30"/>
      <c r="X28" s="30"/>
      <c r="Y28" s="3"/>
      <c r="Z28" s="3"/>
      <c r="AA28" s="3"/>
      <c r="AB28" s="3"/>
      <c r="AC28" s="3"/>
      <c r="AD28" s="3"/>
      <c r="AE28" s="3"/>
      <c r="AF28" s="33" t="s">
        <v>51</v>
      </c>
      <c r="AG28" s="33"/>
      <c r="AH28" s="33"/>
      <c r="AI28" s="33"/>
      <c r="AJ28" s="33"/>
      <c r="AK28" s="33"/>
      <c r="AL28" s="33"/>
      <c r="AM28" s="33"/>
      <c r="AN28" s="33"/>
      <c r="AO28" s="33"/>
    </row>
    <row r="34" spans="19:41" x14ac:dyDescent="0.25">
      <c r="S34" s="31" t="s">
        <v>34</v>
      </c>
      <c r="T34" s="31"/>
      <c r="U34" s="31"/>
      <c r="V34" s="31"/>
      <c r="W34" s="31"/>
      <c r="X34" s="31"/>
      <c r="AF34" s="33" t="s">
        <v>52</v>
      </c>
      <c r="AG34" s="33"/>
      <c r="AH34" s="33"/>
      <c r="AI34" s="33"/>
      <c r="AJ34" s="33"/>
      <c r="AK34" s="33"/>
      <c r="AL34" s="33"/>
      <c r="AM34" s="33"/>
      <c r="AN34" s="33"/>
      <c r="AO34" s="33"/>
    </row>
  </sheetData>
  <mergeCells count="7">
    <mergeCell ref="A5:AO5"/>
    <mergeCell ref="A6:AO6"/>
    <mergeCell ref="S28:X28"/>
    <mergeCell ref="S34:X34"/>
    <mergeCell ref="AF27:AO27"/>
    <mergeCell ref="AF28:AO28"/>
    <mergeCell ref="AF34:AO34"/>
  </mergeCells>
  <pageMargins left="0.45" right="0.45" top="0.75" bottom="0.75" header="0.3" footer="0.3"/>
  <pageSetup scale="57" fitToHeight="0" orientation="landscape" r:id="rId1"/>
  <ignoredErrors>
    <ignoredError sqref="B11:P11 AM8 AO8 AM9:AO9 B18:Y18 AM17:AO18 AM13:AO13 B12:T12 AM12:AN12 B14:T15 AM14:AN16 V11:W11 AC11:AD11 AG11:AI11 AM11:AO11 AK11 V14:AK14 V12:AK12 B13:AK13 AC18:AF18 B16:AK17 B8:AK9 AH18:AK18 V15:AF15 AH15:AK1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3CFEE-4282-409D-90EC-4B59ACB80059}">
  <dimension ref="A4:D14"/>
  <sheetViews>
    <sheetView workbookViewId="0">
      <selection activeCell="C21" sqref="C21"/>
    </sheetView>
  </sheetViews>
  <sheetFormatPr defaultRowHeight="15.75" x14ac:dyDescent="0.25"/>
  <cols>
    <col min="1" max="1" width="23.140625" style="20" customWidth="1"/>
    <col min="2" max="2" width="10.7109375" style="20" customWidth="1"/>
    <col min="3" max="3" width="14.7109375" style="20" customWidth="1"/>
    <col min="4" max="4" width="16.7109375" style="20" customWidth="1"/>
    <col min="5" max="16384" width="9.140625" style="20"/>
  </cols>
  <sheetData>
    <row r="4" spans="1:4" x14ac:dyDescent="0.25">
      <c r="A4" s="1" t="s">
        <v>0</v>
      </c>
      <c r="B4" s="7" t="s">
        <v>7</v>
      </c>
      <c r="C4" s="21" t="s">
        <v>60</v>
      </c>
      <c r="D4" s="21" t="s">
        <v>61</v>
      </c>
    </row>
    <row r="5" spans="1:4" x14ac:dyDescent="0.25">
      <c r="A5" s="8" t="s">
        <v>52</v>
      </c>
      <c r="B5" s="8">
        <f>'Bang Cham Cong'!AO10</f>
        <v>18</v>
      </c>
      <c r="C5" s="22">
        <v>35000</v>
      </c>
      <c r="D5" s="23">
        <f>B5*C5</f>
        <v>630000</v>
      </c>
    </row>
    <row r="6" spans="1:4" x14ac:dyDescent="0.25">
      <c r="A6" s="2" t="s">
        <v>16</v>
      </c>
      <c r="B6" s="8">
        <f>'Bang Cham Cong'!AO11</f>
        <v>9</v>
      </c>
      <c r="C6" s="22">
        <v>35000</v>
      </c>
      <c r="D6" s="23">
        <f t="shared" ref="D6:D13" si="0">B6*C6</f>
        <v>315000</v>
      </c>
    </row>
    <row r="7" spans="1:4" x14ac:dyDescent="0.25">
      <c r="A7" s="2" t="s">
        <v>19</v>
      </c>
      <c r="B7" s="8">
        <f>'Bang Cham Cong'!AO12</f>
        <v>21</v>
      </c>
      <c r="C7" s="22">
        <v>35000</v>
      </c>
      <c r="D7" s="23">
        <f t="shared" si="0"/>
        <v>735000</v>
      </c>
    </row>
    <row r="8" spans="1:4" x14ac:dyDescent="0.25">
      <c r="A8" s="2" t="s">
        <v>22</v>
      </c>
      <c r="B8" s="8">
        <f>'Bang Cham Cong'!AO13</f>
        <v>21</v>
      </c>
      <c r="C8" s="22">
        <v>35000</v>
      </c>
      <c r="D8" s="23">
        <f t="shared" si="0"/>
        <v>735000</v>
      </c>
    </row>
    <row r="9" spans="1:4" x14ac:dyDescent="0.25">
      <c r="A9" s="2" t="s">
        <v>25</v>
      </c>
      <c r="B9" s="8">
        <f>'Bang Cham Cong'!AO14</f>
        <v>21</v>
      </c>
      <c r="C9" s="22">
        <v>35000</v>
      </c>
      <c r="D9" s="23">
        <f t="shared" si="0"/>
        <v>735000</v>
      </c>
    </row>
    <row r="10" spans="1:4" x14ac:dyDescent="0.25">
      <c r="A10" s="2" t="s">
        <v>28</v>
      </c>
      <c r="B10" s="8">
        <f>'Bang Cham Cong'!AO15</f>
        <v>20</v>
      </c>
      <c r="C10" s="22">
        <v>35000</v>
      </c>
      <c r="D10" s="23">
        <f t="shared" si="0"/>
        <v>700000</v>
      </c>
    </row>
    <row r="11" spans="1:4" x14ac:dyDescent="0.25">
      <c r="A11" s="2" t="s">
        <v>31</v>
      </c>
      <c r="B11" s="8">
        <f>'Bang Cham Cong'!AO16</f>
        <v>0</v>
      </c>
      <c r="C11" s="22">
        <v>35000</v>
      </c>
      <c r="D11" s="23">
        <f t="shared" si="0"/>
        <v>0</v>
      </c>
    </row>
    <row r="12" spans="1:4" x14ac:dyDescent="0.25">
      <c r="A12" s="2" t="s">
        <v>34</v>
      </c>
      <c r="B12" s="8">
        <f>'Bang Cham Cong'!AO17</f>
        <v>22</v>
      </c>
      <c r="C12" s="22">
        <v>35000</v>
      </c>
      <c r="D12" s="23">
        <f t="shared" si="0"/>
        <v>770000</v>
      </c>
    </row>
    <row r="13" spans="1:4" x14ac:dyDescent="0.25">
      <c r="A13" s="2" t="s">
        <v>37</v>
      </c>
      <c r="B13" s="8">
        <f>'Bang Cham Cong'!AO18</f>
        <v>9</v>
      </c>
      <c r="C13" s="22">
        <v>35000</v>
      </c>
      <c r="D13" s="23">
        <f t="shared" si="0"/>
        <v>315000</v>
      </c>
    </row>
    <row r="14" spans="1:4" x14ac:dyDescent="0.25">
      <c r="A14" s="21" t="s">
        <v>62</v>
      </c>
      <c r="B14" s="24"/>
      <c r="C14" s="24"/>
      <c r="D14" s="25">
        <f>SUM(D5:D13)</f>
        <v>4935000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Bang Cham Cong</vt:lpstr>
      <vt:lpstr>PC ăn trưa</vt:lpstr>
      <vt:lpstr>'Bang Cham Cong'!Print_Area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Phan Thị Thu Lan</cp:lastModifiedBy>
  <cp:lastPrinted>2026-07-02T09:43:14Z</cp:lastPrinted>
  <dcterms:modified xsi:type="dcterms:W3CDTF">2026-07-02T09:44:11Z</dcterms:modified>
</cp:coreProperties>
</file>